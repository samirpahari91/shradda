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tnmsu-my.sharepoint.com/personal/shradda_nmsu_edu/Documents/"/>
    </mc:Choice>
  </mc:AlternateContent>
  <xr:revisionPtr revIDLastSave="6372" documentId="8_{814AEC67-A95B-4030-B39A-CC81098BCA43}" xr6:coauthVersionLast="47" xr6:coauthVersionMax="47" xr10:uidLastSave="{05F2466C-C55C-4D75-A555-781D945E06C0}"/>
  <bookViews>
    <workbookView xWindow="-108" yWindow="-108" windowWidth="23256" windowHeight="12456" xr2:uid="{0376D2B8-E685-47F6-9EAA-F2FA3D3BDEF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69" i="1" l="1"/>
  <c r="H670" i="1"/>
  <c r="H671" i="1"/>
  <c r="H672" i="1"/>
  <c r="H673" i="1"/>
  <c r="H674" i="1"/>
  <c r="H675" i="1"/>
  <c r="H668" i="1"/>
  <c r="H390" i="1"/>
  <c r="H392" i="1"/>
  <c r="H387" i="1"/>
  <c r="H665" i="1"/>
  <c r="H666" i="1"/>
  <c r="H664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30" i="1"/>
  <c r="H631" i="1"/>
  <c r="H632" i="1"/>
  <c r="H633" i="1"/>
  <c r="H634" i="1"/>
  <c r="H635" i="1"/>
  <c r="H636" i="1"/>
  <c r="H637" i="1"/>
  <c r="H638" i="1"/>
  <c r="H639" i="1"/>
  <c r="H640" i="1"/>
  <c r="H627" i="1"/>
  <c r="H628" i="1"/>
  <c r="H629" i="1"/>
  <c r="H626" i="1"/>
  <c r="H624" i="1"/>
  <c r="H623" i="1"/>
  <c r="H621" i="1"/>
  <c r="H620" i="1"/>
  <c r="H617" i="1"/>
  <c r="H618" i="1"/>
  <c r="H619" i="1"/>
  <c r="H614" i="1"/>
  <c r="H616" i="1"/>
  <c r="H613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52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476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32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12" i="1"/>
  <c r="H305" i="1"/>
  <c r="H306" i="1"/>
  <c r="H307" i="1"/>
  <c r="H308" i="1"/>
  <c r="H309" i="1"/>
  <c r="H310" i="1"/>
  <c r="H311" i="1"/>
  <c r="H295" i="1"/>
  <c r="H296" i="1"/>
  <c r="H297" i="1"/>
  <c r="H298" i="1"/>
  <c r="H299" i="1"/>
  <c r="H300" i="1"/>
  <c r="H301" i="1"/>
  <c r="H302" i="1"/>
  <c r="H303" i="1"/>
  <c r="H304" i="1"/>
  <c r="H288" i="1"/>
  <c r="H289" i="1"/>
  <c r="H290" i="1"/>
  <c r="H291" i="1"/>
  <c r="H292" i="1"/>
  <c r="H293" i="1"/>
  <c r="H294" i="1"/>
  <c r="H279" i="1"/>
  <c r="H280" i="1"/>
  <c r="H281" i="1"/>
  <c r="H282" i="1"/>
  <c r="H283" i="1"/>
  <c r="H284" i="1"/>
  <c r="H285" i="1"/>
  <c r="H286" i="1"/>
  <c r="H287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65" i="1"/>
  <c r="H264" i="1"/>
  <c r="BG2" i="1"/>
  <c r="BG71" i="1"/>
  <c r="BG70" i="1"/>
  <c r="BG69" i="1"/>
  <c r="BG68" i="1"/>
  <c r="BG67" i="1"/>
  <c r="BG66" i="1"/>
  <c r="BG65" i="1"/>
  <c r="BG64" i="1"/>
  <c r="BG63" i="1"/>
  <c r="BG62" i="1"/>
  <c r="BG61" i="1"/>
  <c r="BG60" i="1"/>
  <c r="BG59" i="1"/>
  <c r="BG58" i="1"/>
  <c r="BG57" i="1"/>
  <c r="BG56" i="1"/>
  <c r="BG55" i="1"/>
  <c r="BG54" i="1"/>
  <c r="BG53" i="1"/>
  <c r="BG52" i="1"/>
  <c r="BG51" i="1"/>
  <c r="BG50" i="1"/>
  <c r="BG49" i="1"/>
  <c r="BG48" i="1"/>
  <c r="BG47" i="1"/>
  <c r="BG46" i="1"/>
  <c r="BG45" i="1"/>
  <c r="BG44" i="1"/>
  <c r="BG43" i="1"/>
  <c r="BG42" i="1"/>
  <c r="BG41" i="1"/>
  <c r="BG40" i="1"/>
  <c r="BG39" i="1"/>
  <c r="BG38" i="1"/>
  <c r="BG37" i="1"/>
  <c r="BG36" i="1"/>
  <c r="BG35" i="1"/>
  <c r="BG34" i="1"/>
  <c r="BG33" i="1"/>
  <c r="BG32" i="1"/>
  <c r="BG31" i="1"/>
  <c r="BG30" i="1"/>
  <c r="BG29" i="1"/>
  <c r="BG28" i="1"/>
  <c r="BG27" i="1"/>
  <c r="BG26" i="1"/>
  <c r="BG25" i="1"/>
  <c r="BG24" i="1"/>
  <c r="BG23" i="1"/>
  <c r="BG22" i="1"/>
  <c r="BG21" i="1"/>
  <c r="BG20" i="1"/>
  <c r="BG19" i="1"/>
  <c r="BG18" i="1"/>
  <c r="BG17" i="1"/>
  <c r="BG16" i="1"/>
  <c r="BG15" i="1"/>
  <c r="BG14" i="1"/>
  <c r="BG13" i="1"/>
  <c r="BG12" i="1"/>
  <c r="BG11" i="1"/>
  <c r="BG10" i="1"/>
  <c r="BG9" i="1"/>
  <c r="BG8" i="1"/>
  <c r="BG7" i="1"/>
  <c r="BG6" i="1"/>
  <c r="BG5" i="1"/>
  <c r="BG4" i="1"/>
  <c r="BG3" i="1"/>
</calcChain>
</file>

<file path=xl/sharedStrings.xml><?xml version="1.0" encoding="utf-8"?>
<sst xmlns="http://schemas.openxmlformats.org/spreadsheetml/2006/main" count="2251" uniqueCount="262">
  <si>
    <t>Laser power (W)</t>
  </si>
  <si>
    <t>Laser speed (mm/s)</t>
  </si>
  <si>
    <t>Layer thickness (um)</t>
  </si>
  <si>
    <t>Hatch spacing (um)</t>
  </si>
  <si>
    <t>Beam size (um)</t>
  </si>
  <si>
    <t>Scanning strategy</t>
  </si>
  <si>
    <t>layer rotation (degree)</t>
  </si>
  <si>
    <t>Linear energy density
(J/m)</t>
  </si>
  <si>
    <t>Volumetric energy density (J/mm3)</t>
  </si>
  <si>
    <t>Density measurement method</t>
  </si>
  <si>
    <t>Hardness (HV)</t>
  </si>
  <si>
    <t>Yield Stress (MPa)</t>
  </si>
  <si>
    <t>Ultimate Tensile Strength (MPa)</t>
  </si>
  <si>
    <t>Relative Density %</t>
  </si>
  <si>
    <r>
      <t>Microstructure Average Grain Size(</t>
    </r>
    <r>
      <rPr>
        <b/>
        <sz val="11"/>
        <rFont val="Aptos Narrow"/>
        <family val="2"/>
      </rPr>
      <t>µ</t>
    </r>
    <r>
      <rPr>
        <b/>
        <sz val="11"/>
        <rFont val="Arial"/>
        <family val="2"/>
      </rPr>
      <t>m)</t>
    </r>
  </si>
  <si>
    <t>Grain Shape</t>
  </si>
  <si>
    <t>Microstructure_ Plane</t>
  </si>
  <si>
    <t>References</t>
  </si>
  <si>
    <t>Meander</t>
  </si>
  <si>
    <t>Optical</t>
  </si>
  <si>
    <t>:10.48550/arXiv.2308.16621</t>
  </si>
  <si>
    <t>ImageJ</t>
  </si>
  <si>
    <t>xCT</t>
  </si>
  <si>
    <t>Archimedes</t>
  </si>
  <si>
    <t>Chessboard</t>
  </si>
  <si>
    <t>10.48550/arXiv.2308.16621</t>
  </si>
  <si>
    <t>https://doi.org/10.3390/coatings11121562</t>
  </si>
  <si>
    <t>Columnar</t>
  </si>
  <si>
    <t>Vertical</t>
  </si>
  <si>
    <t>https://doi.org/10.1016/j.jallcom.2019.03.082</t>
  </si>
  <si>
    <t>https://doi.org/10.3390/met15090968</t>
  </si>
  <si>
    <t>Equiaxed &amp; Columnar</t>
  </si>
  <si>
    <t>Horizontal</t>
  </si>
  <si>
    <t>https://doi.org/10.1155/2020/8404052</t>
  </si>
  <si>
    <t>A</t>
  </si>
  <si>
    <t>4-6</t>
  </si>
  <si>
    <t xml:space="preserve">Equiaxed </t>
  </si>
  <si>
    <t>https://doi.org/10.1016/j.msea.2019.138455</t>
  </si>
  <si>
    <t>B</t>
  </si>
  <si>
    <t>Equiaxed</t>
  </si>
  <si>
    <t>C</t>
  </si>
  <si>
    <t>9-10</t>
  </si>
  <si>
    <t>10-12</t>
  </si>
  <si>
    <t>7-9</t>
  </si>
  <si>
    <t>10-13</t>
  </si>
  <si>
    <t>16-20</t>
  </si>
  <si>
    <t>10-16</t>
  </si>
  <si>
    <t>17-21</t>
  </si>
  <si>
    <t>15-20</t>
  </si>
  <si>
    <t>https://doi.org/10.1007/s00170-021-06818-9</t>
  </si>
  <si>
    <t>20-100</t>
  </si>
  <si>
    <t xml:space="preserve">https://doi.org/10.3390/ma13071601 </t>
  </si>
  <si>
    <t>https://doi.org/10.25518/ESAFORM21.1563</t>
  </si>
  <si>
    <t>https://doi.org/10.1007/s10853-025-11895-2</t>
  </si>
  <si>
    <t>https://doi.org/10.3390/mi15091167</t>
  </si>
  <si>
    <t>266</t>
  </si>
  <si>
    <t>https://doi.org/10.1016/j.msea.2016.10.012</t>
  </si>
  <si>
    <t>https://doi.org/10.3390/met8090729</t>
  </si>
  <si>
    <t>vertical</t>
  </si>
  <si>
    <t>https://doi.org/10.1007/s40964-024-00693-y</t>
  </si>
  <si>
    <t>51.5</t>
  </si>
  <si>
    <t>45.8</t>
  </si>
  <si>
    <t>88.6</t>
  </si>
  <si>
    <t>48.3</t>
  </si>
  <si>
    <t>Stripe</t>
  </si>
  <si>
    <t>16.6</t>
  </si>
  <si>
    <t>https://doi.org/10.3390/met11050832</t>
  </si>
  <si>
    <t>14.2</t>
  </si>
  <si>
    <t>16.2</t>
  </si>
  <si>
    <t>14.3</t>
  </si>
  <si>
    <t>18.4</t>
  </si>
  <si>
    <t>Coarsest</t>
  </si>
  <si>
    <t>16</t>
  </si>
  <si>
    <t>15.2</t>
  </si>
  <si>
    <t>13.4</t>
  </si>
  <si>
    <t>14.5</t>
  </si>
  <si>
    <t>13.1</t>
  </si>
  <si>
    <t>15.8</t>
  </si>
  <si>
    <t>14.1</t>
  </si>
  <si>
    <t>12.8</t>
  </si>
  <si>
    <t>16.1</t>
  </si>
  <si>
    <t>14.8</t>
  </si>
  <si>
    <t>Epitaxial</t>
  </si>
  <si>
    <t>13.2</t>
  </si>
  <si>
    <t>12.2</t>
  </si>
  <si>
    <t>10.8</t>
  </si>
  <si>
    <t>12.4</t>
  </si>
  <si>
    <t>10.9</t>
  </si>
  <si>
    <t>11.1</t>
  </si>
  <si>
    <t>Fine</t>
  </si>
  <si>
    <t>9.4</t>
  </si>
  <si>
    <t>Unidirectional</t>
  </si>
  <si>
    <t>18.15</t>
  </si>
  <si>
    <t>https://doi.org/10.3390/jfb16080280</t>
  </si>
  <si>
    <t>14.92</t>
  </si>
  <si>
    <t>13.42</t>
  </si>
  <si>
    <t>11.15</t>
  </si>
  <si>
    <t>10.84</t>
  </si>
  <si>
    <t>8.23</t>
  </si>
  <si>
    <t>8.12</t>
  </si>
  <si>
    <t>6.45</t>
  </si>
  <si>
    <t>20.1</t>
  </si>
  <si>
    <t>https://doi.org/10.1016/j.jmrt.2023.04.069</t>
  </si>
  <si>
    <t>Stripe with contour</t>
  </si>
  <si>
    <t>45</t>
  </si>
  <si>
    <t>https://doi.org/10.1016/j.jmapro.2019.07.010</t>
  </si>
  <si>
    <t>51</t>
  </si>
  <si>
    <t>Stripe no contour</t>
  </si>
  <si>
    <t>56</t>
  </si>
  <si>
    <t>Checkerboard</t>
  </si>
  <si>
    <t>67</t>
  </si>
  <si>
    <t>12.3</t>
  </si>
  <si>
    <t>https://doi.org/10.1016/j.jallcom.2018.01.098</t>
  </si>
  <si>
    <t>10.2</t>
  </si>
  <si>
    <t>11.9</t>
  </si>
  <si>
    <t>16.5</t>
  </si>
  <si>
    <t>20-30</t>
  </si>
  <si>
    <t>198-297</t>
  </si>
  <si>
    <t>21.7</t>
  </si>
  <si>
    <t>17.4</t>
  </si>
  <si>
    <t>750-1000</t>
  </si>
  <si>
    <t>35-50</t>
  </si>
  <si>
    <t>https://doi.org/10.3390/jmmp8010035</t>
  </si>
  <si>
    <t>120-160</t>
  </si>
  <si>
    <t>800-1200</t>
  </si>
  <si>
    <t>20-40</t>
  </si>
  <si>
    <t>60-80</t>
  </si>
  <si>
    <t>32-130</t>
  </si>
  <si>
    <t>300</t>
  </si>
  <si>
    <t>400-800</t>
  </si>
  <si>
    <t>60-120</t>
  </si>
  <si>
    <t>80-100</t>
  </si>
  <si>
    <t>300-1700</t>
  </si>
  <si>
    <t>40-120</t>
  </si>
  <si>
    <t>20-400</t>
  </si>
  <si>
    <t>150-300</t>
  </si>
  <si>
    <t>700-1300</t>
  </si>
  <si>
    <t>36-350</t>
  </si>
  <si>
    <t>Cellular</t>
  </si>
  <si>
    <t>111-250</t>
  </si>
  <si>
    <t>110-120</t>
  </si>
  <si>
    <t>66-400</t>
  </si>
  <si>
    <t>150-200</t>
  </si>
  <si>
    <t>446-1667</t>
  </si>
  <si>
    <t>80-140</t>
  </si>
  <si>
    <t>20-180</t>
  </si>
  <si>
    <t>125-175</t>
  </si>
  <si>
    <t>180-260</t>
  </si>
  <si>
    <t>20-60</t>
  </si>
  <si>
    <t>200-1200</t>
  </si>
  <si>
    <t>400-600</t>
  </si>
  <si>
    <t>30-150</t>
  </si>
  <si>
    <t>40-280</t>
  </si>
  <si>
    <t>70-130</t>
  </si>
  <si>
    <t>700-1200</t>
  </si>
  <si>
    <t>50-150</t>
  </si>
  <si>
    <t>125-200</t>
  </si>
  <si>
    <t>160-260</t>
  </si>
  <si>
    <t>https://doi.org/10.1016/j.addma.2021.101875</t>
  </si>
  <si>
    <t>https://doi.org/10.1007/s40964-022-00281-y</t>
  </si>
  <si>
    <t>Drainage</t>
  </si>
  <si>
    <t>http://dx.doi.org/10.1108/RPJ-06-2015-0078</t>
  </si>
  <si>
    <t>https://doi.org/10.1016/j.msea.2018.10.051</t>
  </si>
  <si>
    <t>18.5</t>
  </si>
  <si>
    <t>https://doi.org/10.1016/j.surfcoat.2020.125956</t>
  </si>
  <si>
    <t>11.36</t>
  </si>
  <si>
    <t>9.78</t>
  </si>
  <si>
    <t>Irregular</t>
  </si>
  <si>
    <t>14.7</t>
  </si>
  <si>
    <t>Hexagons</t>
  </si>
  <si>
    <t>15</t>
  </si>
  <si>
    <t>https://doi.org/10.1016/j.mtla.2022.101356</t>
  </si>
  <si>
    <t>14</t>
  </si>
  <si>
    <t>17</t>
  </si>
  <si>
    <t>18</t>
  </si>
  <si>
    <t>22</t>
  </si>
  <si>
    <t>21</t>
  </si>
  <si>
    <t>19</t>
  </si>
  <si>
    <t>20</t>
  </si>
  <si>
    <t>26</t>
  </si>
  <si>
    <t>25</t>
  </si>
  <si>
    <t>27</t>
  </si>
  <si>
    <t>Bidirectional</t>
  </si>
  <si>
    <t>Archimedean Drainage</t>
  </si>
  <si>
    <t>10.87</t>
  </si>
  <si>
    <t> https://doi.org/10.3390/ma18163899</t>
  </si>
  <si>
    <t>16.68</t>
  </si>
  <si>
    <t>8.51</t>
  </si>
  <si>
    <t>https://doi.org/10.1007/s00170-019-04136-9</t>
  </si>
  <si>
    <t>https://doi.org/10.1007/s11665-013-0784-8</t>
  </si>
  <si>
    <t>2-4</t>
  </si>
  <si>
    <t>https://doi.org/10.1115/1.4056825</t>
  </si>
  <si>
    <t>3-5</t>
  </si>
  <si>
    <t>https://doi.org/10.1007/s00170-020-05072-9</t>
  </si>
  <si>
    <t>Zig-Zag</t>
  </si>
  <si>
    <t>https://doi.org/10.1007/s40430-020-02491-3</t>
  </si>
  <si>
    <t>4.7</t>
  </si>
  <si>
    <t>https://doi.org/10.3390/met14090988</t>
  </si>
  <si>
    <t> https://doi.org/10.3390/met13050842</t>
  </si>
  <si>
    <t>10.1007/s00170-019-03928-3</t>
  </si>
  <si>
    <t> https://doi.org/10.3390/biomimetics10100680</t>
  </si>
  <si>
    <t>20-50</t>
  </si>
  <si>
    <t>Contour</t>
  </si>
  <si>
    <t>10.1016/j.matchar.2023.113117</t>
  </si>
  <si>
    <t>0-67</t>
  </si>
  <si>
    <t>97-99.54</t>
  </si>
  <si>
    <t>10-45</t>
  </si>
  <si>
    <t>https://doi.org/10.1016/j.jmrt.2024.04.130</t>
  </si>
  <si>
    <t>97-99.55</t>
  </si>
  <si>
    <t>600-800</t>
  </si>
  <si>
    <t>97-99.56</t>
  </si>
  <si>
    <t>97-99.57</t>
  </si>
  <si>
    <t>10.1007/s11665-025-11726-0</t>
  </si>
  <si>
    <t>10.1016/j.addma.2026.105247</t>
  </si>
  <si>
    <t>https://doi.org/10.1016/j.jmrt.2023.05.252</t>
  </si>
  <si>
    <t>31.5</t>
  </si>
  <si>
    <t> 10.1016/j.jmrt.2024.12.086</t>
  </si>
  <si>
    <t>107.9</t>
  </si>
  <si>
    <t>Elongated</t>
  </si>
  <si>
    <t>https://doi.org/10.1016/j.ijfatigue.2025.109165</t>
  </si>
  <si>
    <t>2.33</t>
  </si>
  <si>
    <t>10.1016/j.matdes.2025.114036</t>
  </si>
  <si>
    <t>https://doi.org/10.1016/j.jmrt.2026.02.213</t>
  </si>
  <si>
    <t>https://doi.org/10.1016/j.prostr.2025.06.113</t>
  </si>
  <si>
    <t>38.2</t>
  </si>
  <si>
    <t>48.1</t>
  </si>
  <si>
    <t>61.8</t>
  </si>
  <si>
    <t>10.1016/j.matdes.2025.114880</t>
  </si>
  <si>
    <t>https://doi.org/10.1016/j.jmrt.2026.05.298</t>
  </si>
  <si>
    <t> 10.1016/j.jmrt.2025.08.099</t>
  </si>
  <si>
    <t>13-15</t>
  </si>
  <si>
    <t>10.1016/j.jnucmat.2021.152849</t>
  </si>
  <si>
    <t>10.1016/j.jmapro.2024.03.009</t>
  </si>
  <si>
    <t>9.2</t>
  </si>
  <si>
    <t>https://doi.org/10.1016/j.jallcom.2026.187153</t>
  </si>
  <si>
    <t>7.4</t>
  </si>
  <si>
    <t>11.8</t>
  </si>
  <si>
    <t>10.1016/j.jmapro.2022.09.005</t>
  </si>
  <si>
    <t>https://doi.org/10.1016/j.jallcom.2024.174470</t>
  </si>
  <si>
    <t>10.1016/j.matchar.2024.114435</t>
  </si>
  <si>
    <t>https://doi.org/10.1016/j.matchemphys.2024.129309</t>
  </si>
  <si>
    <t>143-180</t>
  </si>
  <si>
    <t>340-345</t>
  </si>
  <si>
    <t>492-548</t>
  </si>
  <si>
    <t>5-8</t>
  </si>
  <si>
    <t>https://doi.org/10.1016/j.msea.2024.147086</t>
  </si>
  <si>
    <t>10.1016/j.jmapro.2025.06.037</t>
  </si>
  <si>
    <t>https://doi.org/10.1557/s43579-025-00835-5</t>
  </si>
  <si>
    <t>10</t>
  </si>
  <si>
    <t>https://doi.org/10.1111/ffe.13845Digital Object Identifier (DOI)</t>
  </si>
  <si>
    <t>https://doi.org/10.1016/j.msea.2021.142226</t>
  </si>
  <si>
    <t>645-690</t>
  </si>
  <si>
    <t>765-795</t>
  </si>
  <si>
    <t>3.4-8.3</t>
  </si>
  <si>
    <t>3.3-8.4</t>
  </si>
  <si>
    <t>3.8-7.9</t>
  </si>
  <si>
    <t>5.5-14.3</t>
  </si>
  <si>
    <t>4.5-9.9</t>
  </si>
  <si>
    <t>4.9-10.8</t>
  </si>
  <si>
    <t>5.4-11.3</t>
  </si>
  <si>
    <t>6.8-15.3</t>
  </si>
  <si>
    <t>https://doi.org/10.1016/j.msea.2022.143345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</si>
</sst>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Arial"/>
      <family val="2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6D9EEB"/>
        <bgColor rgb="FF6D9EEB"/>
      </patternFill>
    </fill>
    <fill>
      <patternFill patternType="solid">
        <fgColor theme="6"/>
        <bgColor theme="6"/>
      </patternFill>
    </fill>
    <fill>
      <patternFill patternType="solid">
        <fgColor theme="8"/>
        <bgColor theme="8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165" fontId="2" fillId="0" borderId="0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 vertical="center"/>
    </xf>
    <xf numFmtId="0" fontId="7" fillId="0" borderId="0" xfId="2"/>
    <xf numFmtId="0" fontId="7" fillId="0" borderId="0" xfId="2" applyAlignment="1">
      <alignment horizontal="center"/>
    </xf>
    <xf numFmtId="49" fontId="4" fillId="5" borderId="0" xfId="0" applyNumberFormat="1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49" fontId="7" fillId="0" borderId="0" xfId="2" applyNumberFormat="1" applyAlignment="1">
      <alignment horizontal="center"/>
    </xf>
    <xf numFmtId="49" fontId="0" fillId="0" borderId="0" xfId="0" applyNumberFormat="1" applyAlignment="1">
      <alignment horizontal="center"/>
    </xf>
    <xf numFmtId="0" fontId="7" fillId="0" borderId="0" xfId="2" applyAlignment="1">
      <alignment vertical="center"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3390/met13050842" TargetMode="External"/><Relationship Id="rId21" Type="http://schemas.openxmlformats.org/officeDocument/2006/relationships/hyperlink" Target="https://doi.org/10.48550/arXiv.2308.16621" TargetMode="External"/><Relationship Id="rId42" Type="http://schemas.openxmlformats.org/officeDocument/2006/relationships/hyperlink" Target="https://doi.org/10.48550/arXiv.2308.16621" TargetMode="External"/><Relationship Id="rId63" Type="http://schemas.openxmlformats.org/officeDocument/2006/relationships/hyperlink" Target="https://doi.org/10.48550/arXiv.2308.16621" TargetMode="External"/><Relationship Id="rId84" Type="http://schemas.openxmlformats.org/officeDocument/2006/relationships/hyperlink" Target="https://doi.org/10.3390/met15090968" TargetMode="External"/><Relationship Id="rId138" Type="http://schemas.openxmlformats.org/officeDocument/2006/relationships/hyperlink" Target="https://doi.org/10.1007/s00170-019-03928-3?urlappend=%3Futm_source%3Dresearchgate.net%26utm_medium%3Darticle" TargetMode="External"/><Relationship Id="rId159" Type="http://schemas.openxmlformats.org/officeDocument/2006/relationships/hyperlink" Target="https://doi.org/10.1007/s00170-019-03928-3?urlappend=%3Futm_source%3Dresearchgate.net%26utm_medium%3Darticle" TargetMode="External"/><Relationship Id="rId170" Type="http://schemas.openxmlformats.org/officeDocument/2006/relationships/hyperlink" Target="https://doi.org/10.1016/j.matchar.2023.113117" TargetMode="External"/><Relationship Id="rId191" Type="http://schemas.openxmlformats.org/officeDocument/2006/relationships/hyperlink" Target="https://doi.org/10.1016/j.matdes.2025.114880" TargetMode="External"/><Relationship Id="rId205" Type="http://schemas.openxmlformats.org/officeDocument/2006/relationships/hyperlink" Target="https://doi.org/10.1016/j.jmapro.2024.03.009" TargetMode="External"/><Relationship Id="rId226" Type="http://schemas.openxmlformats.org/officeDocument/2006/relationships/hyperlink" Target="https://doi.org/10.1016/j.msea.2022.143345" TargetMode="External"/><Relationship Id="rId107" Type="http://schemas.openxmlformats.org/officeDocument/2006/relationships/hyperlink" Target="https://doi.org/10.3390/met15090968" TargetMode="External"/><Relationship Id="rId11" Type="http://schemas.openxmlformats.org/officeDocument/2006/relationships/hyperlink" Target="https://doi.org/10.48550/arXiv.2308.16621" TargetMode="External"/><Relationship Id="rId32" Type="http://schemas.openxmlformats.org/officeDocument/2006/relationships/hyperlink" Target="https://doi.org/10.48550/arXiv.2308.16621" TargetMode="External"/><Relationship Id="rId53" Type="http://schemas.openxmlformats.org/officeDocument/2006/relationships/hyperlink" Target="https://doi.org/10.48550/arXiv.2308.16621" TargetMode="External"/><Relationship Id="rId74" Type="http://schemas.openxmlformats.org/officeDocument/2006/relationships/hyperlink" Target="https://doi.org/10.48550/arXiv.2308.16621" TargetMode="External"/><Relationship Id="rId128" Type="http://schemas.openxmlformats.org/officeDocument/2006/relationships/hyperlink" Target="https://doi.org/10.3390/met13050842" TargetMode="External"/><Relationship Id="rId149" Type="http://schemas.openxmlformats.org/officeDocument/2006/relationships/hyperlink" Target="https://doi.org/10.1007/s00170-019-03928-3?urlappend=%3Futm_source%3Dresearchgate.net%26utm_medium%3Darticle" TargetMode="External"/><Relationship Id="rId5" Type="http://schemas.openxmlformats.org/officeDocument/2006/relationships/hyperlink" Target="https://doi.org/10.48550/arXiv.2308.16621" TargetMode="External"/><Relationship Id="rId95" Type="http://schemas.openxmlformats.org/officeDocument/2006/relationships/hyperlink" Target="https://doi.org/10.3390/met15090968" TargetMode="External"/><Relationship Id="rId160" Type="http://schemas.openxmlformats.org/officeDocument/2006/relationships/hyperlink" Target="https://doi.org/10.3390/biomimetics10100680" TargetMode="External"/><Relationship Id="rId181" Type="http://schemas.openxmlformats.org/officeDocument/2006/relationships/hyperlink" Target="https://doi.org/10.1016/j.addma.2026.105247" TargetMode="External"/><Relationship Id="rId216" Type="http://schemas.openxmlformats.org/officeDocument/2006/relationships/hyperlink" Target="https://doi.org/10.1016/j.matchemphys.2024.129309" TargetMode="External"/><Relationship Id="rId22" Type="http://schemas.openxmlformats.org/officeDocument/2006/relationships/hyperlink" Target="https://doi.org/10.48550/arXiv.2308.16621" TargetMode="External"/><Relationship Id="rId43" Type="http://schemas.openxmlformats.org/officeDocument/2006/relationships/hyperlink" Target="https://doi.org/10.48550/arXiv.2308.16621" TargetMode="External"/><Relationship Id="rId64" Type="http://schemas.openxmlformats.org/officeDocument/2006/relationships/hyperlink" Target="https://doi.org/10.48550/arXiv.2308.16621" TargetMode="External"/><Relationship Id="rId118" Type="http://schemas.openxmlformats.org/officeDocument/2006/relationships/hyperlink" Target="https://doi.org/10.3390/met13050842" TargetMode="External"/><Relationship Id="rId139" Type="http://schemas.openxmlformats.org/officeDocument/2006/relationships/hyperlink" Target="https://doi.org/10.1007/s00170-019-03928-3?urlappend=%3Futm_source%3Dresearchgate.net%26utm_medium%3Darticle" TargetMode="External"/><Relationship Id="rId85" Type="http://schemas.openxmlformats.org/officeDocument/2006/relationships/hyperlink" Target="https://doi.org/10.3390/met15090968" TargetMode="External"/><Relationship Id="rId150" Type="http://schemas.openxmlformats.org/officeDocument/2006/relationships/hyperlink" Target="https://doi.org/10.1007/s00170-019-03928-3?urlappend=%3Futm_source%3Dresearchgate.net%26utm_medium%3Darticle" TargetMode="External"/><Relationship Id="rId171" Type="http://schemas.openxmlformats.org/officeDocument/2006/relationships/hyperlink" Target="https://doi.org/10.1016/j.matchar.2023.113117" TargetMode="External"/><Relationship Id="rId192" Type="http://schemas.openxmlformats.org/officeDocument/2006/relationships/hyperlink" Target="https://doi.org/10.1016/j.jmrt.2026.05.298" TargetMode="External"/><Relationship Id="rId206" Type="http://schemas.openxmlformats.org/officeDocument/2006/relationships/hyperlink" Target="https://doi.org/10.1016/j.jallcom.2026.187153" TargetMode="External"/><Relationship Id="rId227" Type="http://schemas.openxmlformats.org/officeDocument/2006/relationships/hyperlink" Target="https://doi.org/10.1016/j.msea.2022.143345" TargetMode="External"/><Relationship Id="rId12" Type="http://schemas.openxmlformats.org/officeDocument/2006/relationships/hyperlink" Target="https://doi.org/10.48550/arXiv.2308.16621" TargetMode="External"/><Relationship Id="rId33" Type="http://schemas.openxmlformats.org/officeDocument/2006/relationships/hyperlink" Target="https://doi.org/10.48550/arXiv.2308.16621" TargetMode="External"/><Relationship Id="rId108" Type="http://schemas.openxmlformats.org/officeDocument/2006/relationships/hyperlink" Target="https://doi.org/10.3390/met15090968" TargetMode="External"/><Relationship Id="rId129" Type="http://schemas.openxmlformats.org/officeDocument/2006/relationships/hyperlink" Target="https://doi.org/10.3390/met13050842" TargetMode="External"/><Relationship Id="rId54" Type="http://schemas.openxmlformats.org/officeDocument/2006/relationships/hyperlink" Target="https://doi.org/10.48550/arXiv.2308.16621" TargetMode="External"/><Relationship Id="rId75" Type="http://schemas.openxmlformats.org/officeDocument/2006/relationships/hyperlink" Target="https://doi.org/10.48550/arXiv.2308.16621" TargetMode="External"/><Relationship Id="rId96" Type="http://schemas.openxmlformats.org/officeDocument/2006/relationships/hyperlink" Target="https://doi.org/10.3390/met15090968" TargetMode="External"/><Relationship Id="rId140" Type="http://schemas.openxmlformats.org/officeDocument/2006/relationships/hyperlink" Target="https://doi.org/10.1007/s00170-019-03928-3?urlappend=%3Futm_source%3Dresearchgate.net%26utm_medium%3Darticle" TargetMode="External"/><Relationship Id="rId161" Type="http://schemas.openxmlformats.org/officeDocument/2006/relationships/hyperlink" Target="https://doi.org/10.3390/biomimetics10100680" TargetMode="External"/><Relationship Id="rId182" Type="http://schemas.openxmlformats.org/officeDocument/2006/relationships/hyperlink" Target="https://doi.org/10.1016/j.jmrt.2023.05.252" TargetMode="External"/><Relationship Id="rId217" Type="http://schemas.openxmlformats.org/officeDocument/2006/relationships/hyperlink" Target="https://doi.org/10.1016/j.matchemphys.2024.129309" TargetMode="External"/><Relationship Id="rId6" Type="http://schemas.openxmlformats.org/officeDocument/2006/relationships/hyperlink" Target="https://doi.org/10.48550/arXiv.2308.16621" TargetMode="External"/><Relationship Id="rId23" Type="http://schemas.openxmlformats.org/officeDocument/2006/relationships/hyperlink" Target="https://doi.org/10.48550/arXiv.2308.16621" TargetMode="External"/><Relationship Id="rId119" Type="http://schemas.openxmlformats.org/officeDocument/2006/relationships/hyperlink" Target="https://doi.org/10.3390/met13050842" TargetMode="External"/><Relationship Id="rId44" Type="http://schemas.openxmlformats.org/officeDocument/2006/relationships/hyperlink" Target="https://doi.org/10.48550/arXiv.2308.16621" TargetMode="External"/><Relationship Id="rId65" Type="http://schemas.openxmlformats.org/officeDocument/2006/relationships/hyperlink" Target="https://doi.org/10.48550/arXiv.2308.16621" TargetMode="External"/><Relationship Id="rId86" Type="http://schemas.openxmlformats.org/officeDocument/2006/relationships/hyperlink" Target="https://doi.org/10.3390/met15090968" TargetMode="External"/><Relationship Id="rId130" Type="http://schemas.openxmlformats.org/officeDocument/2006/relationships/hyperlink" Target="https://doi.org/10.3390/met13050842" TargetMode="External"/><Relationship Id="rId151" Type="http://schemas.openxmlformats.org/officeDocument/2006/relationships/hyperlink" Target="https://doi.org/10.1007/s00170-019-03928-3?urlappend=%3Futm_source%3Dresearchgate.net%26utm_medium%3Darticle" TargetMode="External"/><Relationship Id="rId172" Type="http://schemas.openxmlformats.org/officeDocument/2006/relationships/hyperlink" Target="https://doi.org/10.1016/j.matchar.2023.113117" TargetMode="External"/><Relationship Id="rId193" Type="http://schemas.openxmlformats.org/officeDocument/2006/relationships/hyperlink" Target="https://doi.org/10.1016/j.jmrt.2025.08.099" TargetMode="External"/><Relationship Id="rId207" Type="http://schemas.openxmlformats.org/officeDocument/2006/relationships/hyperlink" Target="https://doi.org/10.1016/j.jallcom.2026.187153" TargetMode="External"/><Relationship Id="rId228" Type="http://schemas.openxmlformats.org/officeDocument/2006/relationships/hyperlink" Target="https://doi.org/10.1016/j.msea.2022.143345" TargetMode="External"/><Relationship Id="rId13" Type="http://schemas.openxmlformats.org/officeDocument/2006/relationships/hyperlink" Target="https://doi.org/10.48550/arXiv.2308.16621" TargetMode="External"/><Relationship Id="rId109" Type="http://schemas.openxmlformats.org/officeDocument/2006/relationships/hyperlink" Target="https://doi.org/10.3390/met15090968" TargetMode="External"/><Relationship Id="rId34" Type="http://schemas.openxmlformats.org/officeDocument/2006/relationships/hyperlink" Target="https://doi.org/10.48550/arXiv.2308.16621" TargetMode="External"/><Relationship Id="rId55" Type="http://schemas.openxmlformats.org/officeDocument/2006/relationships/hyperlink" Target="https://doi.org/10.48550/arXiv.2308.16621" TargetMode="External"/><Relationship Id="rId76" Type="http://schemas.openxmlformats.org/officeDocument/2006/relationships/hyperlink" Target="https://doi.org/10.3390/met15090968" TargetMode="External"/><Relationship Id="rId97" Type="http://schemas.openxmlformats.org/officeDocument/2006/relationships/hyperlink" Target="https://doi.org/10.3390/met15090968" TargetMode="External"/><Relationship Id="rId120" Type="http://schemas.openxmlformats.org/officeDocument/2006/relationships/hyperlink" Target="https://doi.org/10.3390/met13050842" TargetMode="External"/><Relationship Id="rId141" Type="http://schemas.openxmlformats.org/officeDocument/2006/relationships/hyperlink" Target="https://doi.org/10.1007/s00170-019-03928-3?urlappend=%3Futm_source%3Dresearchgate.net%26utm_medium%3Darticle" TargetMode="External"/><Relationship Id="rId7" Type="http://schemas.openxmlformats.org/officeDocument/2006/relationships/hyperlink" Target="https://doi.org/10.48550/arXiv.2308.16621" TargetMode="External"/><Relationship Id="rId162" Type="http://schemas.openxmlformats.org/officeDocument/2006/relationships/hyperlink" Target="https://doi.org/10.3390/biomimetics10100680" TargetMode="External"/><Relationship Id="rId183" Type="http://schemas.openxmlformats.org/officeDocument/2006/relationships/hyperlink" Target="https://doi.org/10.1016/j.jmrt.2024.12.086" TargetMode="External"/><Relationship Id="rId218" Type="http://schemas.openxmlformats.org/officeDocument/2006/relationships/hyperlink" Target="https://doi.org/10.1016/j.matchemphys.2024.129309" TargetMode="External"/><Relationship Id="rId24" Type="http://schemas.openxmlformats.org/officeDocument/2006/relationships/hyperlink" Target="https://doi.org/10.48550/arXiv.2308.16621" TargetMode="External"/><Relationship Id="rId45" Type="http://schemas.openxmlformats.org/officeDocument/2006/relationships/hyperlink" Target="https://doi.org/10.48550/arXiv.2308.16621" TargetMode="External"/><Relationship Id="rId66" Type="http://schemas.openxmlformats.org/officeDocument/2006/relationships/hyperlink" Target="https://doi.org/10.48550/arXiv.2308.16621" TargetMode="External"/><Relationship Id="rId87" Type="http://schemas.openxmlformats.org/officeDocument/2006/relationships/hyperlink" Target="https://doi.org/10.3390/met15090968" TargetMode="External"/><Relationship Id="rId110" Type="http://schemas.openxmlformats.org/officeDocument/2006/relationships/hyperlink" Target="https://doi.org/10.3390/met15090968" TargetMode="External"/><Relationship Id="rId131" Type="http://schemas.openxmlformats.org/officeDocument/2006/relationships/hyperlink" Target="https://doi.org/10.3390/met13050842" TargetMode="External"/><Relationship Id="rId152" Type="http://schemas.openxmlformats.org/officeDocument/2006/relationships/hyperlink" Target="https://doi.org/10.1007/s00170-019-03928-3?urlappend=%3Futm_source%3Dresearchgate.net%26utm_medium%3Darticle" TargetMode="External"/><Relationship Id="rId173" Type="http://schemas.openxmlformats.org/officeDocument/2006/relationships/hyperlink" Target="https://doi.org/10.1016/j.matchar.2023.113117" TargetMode="External"/><Relationship Id="rId194" Type="http://schemas.openxmlformats.org/officeDocument/2006/relationships/hyperlink" Target="https://doi.org/10.1016/j.jmrt.2025.08.099" TargetMode="External"/><Relationship Id="rId208" Type="http://schemas.openxmlformats.org/officeDocument/2006/relationships/hyperlink" Target="https://doi.org/10.1016/j.jallcom.2026.187153" TargetMode="External"/><Relationship Id="rId229" Type="http://schemas.openxmlformats.org/officeDocument/2006/relationships/hyperlink" Target="https://doi.org/10.1016/j.msea.2022.143345" TargetMode="External"/><Relationship Id="rId14" Type="http://schemas.openxmlformats.org/officeDocument/2006/relationships/hyperlink" Target="https://doi.org/10.48550/arXiv.2308.16621" TargetMode="External"/><Relationship Id="rId35" Type="http://schemas.openxmlformats.org/officeDocument/2006/relationships/hyperlink" Target="https://doi.org/10.48550/arXiv.2308.16621" TargetMode="External"/><Relationship Id="rId56" Type="http://schemas.openxmlformats.org/officeDocument/2006/relationships/hyperlink" Target="https://doi.org/10.48550/arXiv.2308.16621" TargetMode="External"/><Relationship Id="rId77" Type="http://schemas.openxmlformats.org/officeDocument/2006/relationships/hyperlink" Target="https://doi.org/10.3390/met15090968" TargetMode="External"/><Relationship Id="rId100" Type="http://schemas.openxmlformats.org/officeDocument/2006/relationships/hyperlink" Target="https://doi.org/10.3390/met15090968" TargetMode="External"/><Relationship Id="rId8" Type="http://schemas.openxmlformats.org/officeDocument/2006/relationships/hyperlink" Target="https://doi.org/10.48550/arXiv.2308.16621" TargetMode="External"/><Relationship Id="rId98" Type="http://schemas.openxmlformats.org/officeDocument/2006/relationships/hyperlink" Target="https://doi.org/10.3390/met15090968" TargetMode="External"/><Relationship Id="rId121" Type="http://schemas.openxmlformats.org/officeDocument/2006/relationships/hyperlink" Target="https://doi.org/10.3390/met13050842" TargetMode="External"/><Relationship Id="rId142" Type="http://schemas.openxmlformats.org/officeDocument/2006/relationships/hyperlink" Target="https://doi.org/10.1007/s00170-019-03928-3?urlappend=%3Futm_source%3Dresearchgate.net%26utm_medium%3Darticle" TargetMode="External"/><Relationship Id="rId163" Type="http://schemas.openxmlformats.org/officeDocument/2006/relationships/hyperlink" Target="https://doi.org/10.3390/biomimetics10100680" TargetMode="External"/><Relationship Id="rId184" Type="http://schemas.openxmlformats.org/officeDocument/2006/relationships/hyperlink" Target="https://doi.org/10.1016/j.jmrt.2024.12.086" TargetMode="External"/><Relationship Id="rId219" Type="http://schemas.openxmlformats.org/officeDocument/2006/relationships/hyperlink" Target="https://doi.org/10.1016/j.matchemphys.2024.129309" TargetMode="External"/><Relationship Id="rId230" Type="http://schemas.openxmlformats.org/officeDocument/2006/relationships/hyperlink" Target="https://doi.org/10.1016/j.msea.2022.143345" TargetMode="External"/><Relationship Id="rId25" Type="http://schemas.openxmlformats.org/officeDocument/2006/relationships/hyperlink" Target="https://doi.org/10.48550/arXiv.2308.16621" TargetMode="External"/><Relationship Id="rId46" Type="http://schemas.openxmlformats.org/officeDocument/2006/relationships/hyperlink" Target="https://doi.org/10.48550/arXiv.2308.16621" TargetMode="External"/><Relationship Id="rId67" Type="http://schemas.openxmlformats.org/officeDocument/2006/relationships/hyperlink" Target="https://doi.org/10.48550/arXiv.2308.16621" TargetMode="External"/><Relationship Id="rId116" Type="http://schemas.openxmlformats.org/officeDocument/2006/relationships/hyperlink" Target="https://doi.org/10.3390/met13050842" TargetMode="External"/><Relationship Id="rId137" Type="http://schemas.openxmlformats.org/officeDocument/2006/relationships/hyperlink" Target="https://doi.org/10.1007/s00170-019-03928-3?urlappend=%3Futm_source%3Dresearchgate.net%26utm_medium%3Darticle" TargetMode="External"/><Relationship Id="rId158" Type="http://schemas.openxmlformats.org/officeDocument/2006/relationships/hyperlink" Target="https://doi.org/10.1007/s00170-019-03928-3?urlappend=%3Futm_source%3Dresearchgate.net%26utm_medium%3Darticle" TargetMode="External"/><Relationship Id="rId20" Type="http://schemas.openxmlformats.org/officeDocument/2006/relationships/hyperlink" Target="https://doi.org/10.48550/arXiv.2308.16621" TargetMode="External"/><Relationship Id="rId41" Type="http://schemas.openxmlformats.org/officeDocument/2006/relationships/hyperlink" Target="https://doi.org/10.48550/arXiv.2308.16621" TargetMode="External"/><Relationship Id="rId62" Type="http://schemas.openxmlformats.org/officeDocument/2006/relationships/hyperlink" Target="https://doi.org/10.48550/arXiv.2308.16621" TargetMode="External"/><Relationship Id="rId83" Type="http://schemas.openxmlformats.org/officeDocument/2006/relationships/hyperlink" Target="https://doi.org/10.3390/met15090968" TargetMode="External"/><Relationship Id="rId88" Type="http://schemas.openxmlformats.org/officeDocument/2006/relationships/hyperlink" Target="https://doi.org/10.3390/met15090968" TargetMode="External"/><Relationship Id="rId111" Type="http://schemas.openxmlformats.org/officeDocument/2006/relationships/hyperlink" Target="https://doi.org/10.3390/met15090968" TargetMode="External"/><Relationship Id="rId132" Type="http://schemas.openxmlformats.org/officeDocument/2006/relationships/hyperlink" Target="https://doi.org/10.3390/met13050842" TargetMode="External"/><Relationship Id="rId153" Type="http://schemas.openxmlformats.org/officeDocument/2006/relationships/hyperlink" Target="https://doi.org/10.1007/s00170-019-03928-3?urlappend=%3Futm_source%3Dresearchgate.net%26utm_medium%3Darticle" TargetMode="External"/><Relationship Id="rId174" Type="http://schemas.openxmlformats.org/officeDocument/2006/relationships/hyperlink" Target="https://doi.org/10.1016/j.jmrt.2024.04.130" TargetMode="External"/><Relationship Id="rId179" Type="http://schemas.openxmlformats.org/officeDocument/2006/relationships/hyperlink" Target="https://doi.org/10.1007/s11665-025-11726-0" TargetMode="External"/><Relationship Id="rId195" Type="http://schemas.openxmlformats.org/officeDocument/2006/relationships/hyperlink" Target="https://doi.org/10.1016/j.jmrt.2025.08.099" TargetMode="External"/><Relationship Id="rId209" Type="http://schemas.openxmlformats.org/officeDocument/2006/relationships/hyperlink" Target="https://doi.org/10.1016/j.jallcom.2026.187153" TargetMode="External"/><Relationship Id="rId190" Type="http://schemas.openxmlformats.org/officeDocument/2006/relationships/hyperlink" Target="https://doi.org/10.1016/j.matdes.2025.114880" TargetMode="External"/><Relationship Id="rId204" Type="http://schemas.openxmlformats.org/officeDocument/2006/relationships/hyperlink" Target="https://doi.org/10.1016/j.jnucmat.2021.152849" TargetMode="External"/><Relationship Id="rId220" Type="http://schemas.openxmlformats.org/officeDocument/2006/relationships/hyperlink" Target="https://doi.org/10.1016/j.msea.2024.147086" TargetMode="External"/><Relationship Id="rId225" Type="http://schemas.openxmlformats.org/officeDocument/2006/relationships/hyperlink" Target="https://doi.org/10.1016/j.msea.2022.143345" TargetMode="External"/><Relationship Id="rId15" Type="http://schemas.openxmlformats.org/officeDocument/2006/relationships/hyperlink" Target="https://doi.org/10.48550/arXiv.2308.16621" TargetMode="External"/><Relationship Id="rId36" Type="http://schemas.openxmlformats.org/officeDocument/2006/relationships/hyperlink" Target="https://doi.org/10.48550/arXiv.2308.16621" TargetMode="External"/><Relationship Id="rId57" Type="http://schemas.openxmlformats.org/officeDocument/2006/relationships/hyperlink" Target="https://doi.org/10.48550/arXiv.2308.16621" TargetMode="External"/><Relationship Id="rId106" Type="http://schemas.openxmlformats.org/officeDocument/2006/relationships/hyperlink" Target="https://doi.org/10.3390/met15090968" TargetMode="External"/><Relationship Id="rId127" Type="http://schemas.openxmlformats.org/officeDocument/2006/relationships/hyperlink" Target="https://doi.org/10.3390/met13050842" TargetMode="External"/><Relationship Id="rId10" Type="http://schemas.openxmlformats.org/officeDocument/2006/relationships/hyperlink" Target="https://doi.org/10.48550/arXiv.2308.16621" TargetMode="External"/><Relationship Id="rId31" Type="http://schemas.openxmlformats.org/officeDocument/2006/relationships/hyperlink" Target="https://doi.org/10.48550/arXiv.2308.16621" TargetMode="External"/><Relationship Id="rId52" Type="http://schemas.openxmlformats.org/officeDocument/2006/relationships/hyperlink" Target="https://doi.org/10.48550/arXiv.2308.16621" TargetMode="External"/><Relationship Id="rId73" Type="http://schemas.openxmlformats.org/officeDocument/2006/relationships/hyperlink" Target="https://doi.org/10.48550/arXiv.2308.16621" TargetMode="External"/><Relationship Id="rId78" Type="http://schemas.openxmlformats.org/officeDocument/2006/relationships/hyperlink" Target="https://doi.org/10.3390/met15090968" TargetMode="External"/><Relationship Id="rId94" Type="http://schemas.openxmlformats.org/officeDocument/2006/relationships/hyperlink" Target="https://doi.org/10.3390/met15090968" TargetMode="External"/><Relationship Id="rId99" Type="http://schemas.openxmlformats.org/officeDocument/2006/relationships/hyperlink" Target="https://doi.org/10.3390/met15090968" TargetMode="External"/><Relationship Id="rId101" Type="http://schemas.openxmlformats.org/officeDocument/2006/relationships/hyperlink" Target="https://doi.org/10.3390/met15090968" TargetMode="External"/><Relationship Id="rId122" Type="http://schemas.openxmlformats.org/officeDocument/2006/relationships/hyperlink" Target="https://doi.org/10.3390/met13050842" TargetMode="External"/><Relationship Id="rId143" Type="http://schemas.openxmlformats.org/officeDocument/2006/relationships/hyperlink" Target="https://doi.org/10.1007/s00170-019-03928-3?urlappend=%3Futm_source%3Dresearchgate.net%26utm_medium%3Darticle" TargetMode="External"/><Relationship Id="rId148" Type="http://schemas.openxmlformats.org/officeDocument/2006/relationships/hyperlink" Target="https://doi.org/10.1007/s00170-019-03928-3?urlappend=%3Futm_source%3Dresearchgate.net%26utm_medium%3Darticle" TargetMode="External"/><Relationship Id="rId164" Type="http://schemas.openxmlformats.org/officeDocument/2006/relationships/hyperlink" Target="https://doi.org/10.3390/biomimetics10100680" TargetMode="External"/><Relationship Id="rId169" Type="http://schemas.openxmlformats.org/officeDocument/2006/relationships/hyperlink" Target="https://doi.org/10.3390/biomimetics10100680" TargetMode="External"/><Relationship Id="rId185" Type="http://schemas.openxmlformats.org/officeDocument/2006/relationships/hyperlink" Target="https://doi.org/10.1016/j.ijfatigue.2025.109165" TargetMode="External"/><Relationship Id="rId4" Type="http://schemas.openxmlformats.org/officeDocument/2006/relationships/hyperlink" Target="https://doi.org/10.48550/arXiv.2308.16621" TargetMode="External"/><Relationship Id="rId9" Type="http://schemas.openxmlformats.org/officeDocument/2006/relationships/hyperlink" Target="https://doi.org/10.48550/arXiv.2308.16621" TargetMode="External"/><Relationship Id="rId180" Type="http://schemas.openxmlformats.org/officeDocument/2006/relationships/hyperlink" Target="https://doi.org/10.1007/s11665-025-11726-0" TargetMode="External"/><Relationship Id="rId210" Type="http://schemas.openxmlformats.org/officeDocument/2006/relationships/hyperlink" Target="https://doi.org/10.1016/j.jmapro.2022.09.005" TargetMode="External"/><Relationship Id="rId215" Type="http://schemas.openxmlformats.org/officeDocument/2006/relationships/hyperlink" Target="https://doi.org/10.1016/j.matchemphys.2024.129309" TargetMode="External"/><Relationship Id="rId26" Type="http://schemas.openxmlformats.org/officeDocument/2006/relationships/hyperlink" Target="https://doi.org/10.48550/arXiv.2308.16621" TargetMode="External"/><Relationship Id="rId231" Type="http://schemas.openxmlformats.org/officeDocument/2006/relationships/hyperlink" Target="https://doi.org/10.1016/j.msea.2022.143345" TargetMode="External"/><Relationship Id="rId47" Type="http://schemas.openxmlformats.org/officeDocument/2006/relationships/hyperlink" Target="https://doi.org/10.48550/arXiv.2308.16621" TargetMode="External"/><Relationship Id="rId68" Type="http://schemas.openxmlformats.org/officeDocument/2006/relationships/hyperlink" Target="https://doi.org/10.48550/arXiv.2308.16621" TargetMode="External"/><Relationship Id="rId89" Type="http://schemas.openxmlformats.org/officeDocument/2006/relationships/hyperlink" Target="https://doi.org/10.3390/met15090968" TargetMode="External"/><Relationship Id="rId112" Type="http://schemas.openxmlformats.org/officeDocument/2006/relationships/hyperlink" Target="https://doi.org/10.3390/met14090988" TargetMode="External"/><Relationship Id="rId133" Type="http://schemas.openxmlformats.org/officeDocument/2006/relationships/hyperlink" Target="https://doi.org/10.3390/met13050842" TargetMode="External"/><Relationship Id="rId154" Type="http://schemas.openxmlformats.org/officeDocument/2006/relationships/hyperlink" Target="https://doi.org/10.1007/s00170-019-03928-3?urlappend=%3Futm_source%3Dresearchgate.net%26utm_medium%3Darticle" TargetMode="External"/><Relationship Id="rId175" Type="http://schemas.openxmlformats.org/officeDocument/2006/relationships/hyperlink" Target="https://doi.org/10.1016/j.jmrt.2024.04.130" TargetMode="External"/><Relationship Id="rId196" Type="http://schemas.openxmlformats.org/officeDocument/2006/relationships/hyperlink" Target="https://doi.org/10.1016/j.jmrt.2025.08.099" TargetMode="External"/><Relationship Id="rId200" Type="http://schemas.openxmlformats.org/officeDocument/2006/relationships/hyperlink" Target="https://doi.org/10.1016/j.jmrt.2025.08.099" TargetMode="External"/><Relationship Id="rId16" Type="http://schemas.openxmlformats.org/officeDocument/2006/relationships/hyperlink" Target="https://doi.org/10.48550/arXiv.2308.16621" TargetMode="External"/><Relationship Id="rId221" Type="http://schemas.openxmlformats.org/officeDocument/2006/relationships/hyperlink" Target="https://doi.org/10.1016/j.jmapro.2025.06.037" TargetMode="External"/><Relationship Id="rId37" Type="http://schemas.openxmlformats.org/officeDocument/2006/relationships/hyperlink" Target="https://doi.org/10.48550/arXiv.2308.16621" TargetMode="External"/><Relationship Id="rId58" Type="http://schemas.openxmlformats.org/officeDocument/2006/relationships/hyperlink" Target="https://doi.org/10.48550/arXiv.2308.16621" TargetMode="External"/><Relationship Id="rId79" Type="http://schemas.openxmlformats.org/officeDocument/2006/relationships/hyperlink" Target="https://doi.org/10.3390/met15090968" TargetMode="External"/><Relationship Id="rId102" Type="http://schemas.openxmlformats.org/officeDocument/2006/relationships/hyperlink" Target="https://doi.org/10.3390/met15090968" TargetMode="External"/><Relationship Id="rId123" Type="http://schemas.openxmlformats.org/officeDocument/2006/relationships/hyperlink" Target="https://doi.org/10.3390/met13050842" TargetMode="External"/><Relationship Id="rId144" Type="http://schemas.openxmlformats.org/officeDocument/2006/relationships/hyperlink" Target="https://doi.org/10.1007/s00170-019-03928-3?urlappend=%3Futm_source%3Dresearchgate.net%26utm_medium%3Darticle" TargetMode="External"/><Relationship Id="rId90" Type="http://schemas.openxmlformats.org/officeDocument/2006/relationships/hyperlink" Target="https://doi.org/10.3390/met15090968" TargetMode="External"/><Relationship Id="rId165" Type="http://schemas.openxmlformats.org/officeDocument/2006/relationships/hyperlink" Target="https://doi.org/10.3390/biomimetics10100680" TargetMode="External"/><Relationship Id="rId186" Type="http://schemas.openxmlformats.org/officeDocument/2006/relationships/hyperlink" Target="https://doi.org/10.1016/j.matdes.2025.114036" TargetMode="External"/><Relationship Id="rId211" Type="http://schemas.openxmlformats.org/officeDocument/2006/relationships/hyperlink" Target="https://doi.org/10.1016/j.jmapro.2022.09.005" TargetMode="External"/><Relationship Id="rId232" Type="http://schemas.openxmlformats.org/officeDocument/2006/relationships/hyperlink" Target="https://doi.org/10.1016/j.msea.2022.143345" TargetMode="External"/><Relationship Id="rId27" Type="http://schemas.openxmlformats.org/officeDocument/2006/relationships/hyperlink" Target="https://doi.org/10.48550/arXiv.2308.16621" TargetMode="External"/><Relationship Id="rId48" Type="http://schemas.openxmlformats.org/officeDocument/2006/relationships/hyperlink" Target="https://doi.org/10.48550/arXiv.2308.16621" TargetMode="External"/><Relationship Id="rId69" Type="http://schemas.openxmlformats.org/officeDocument/2006/relationships/hyperlink" Target="https://doi.org/10.48550/arXiv.2308.16621" TargetMode="External"/><Relationship Id="rId113" Type="http://schemas.openxmlformats.org/officeDocument/2006/relationships/hyperlink" Target="https://doi.org/10.3390/met13050842" TargetMode="External"/><Relationship Id="rId134" Type="http://schemas.openxmlformats.org/officeDocument/2006/relationships/hyperlink" Target="https://doi.org/10.3390/met13050842" TargetMode="External"/><Relationship Id="rId80" Type="http://schemas.openxmlformats.org/officeDocument/2006/relationships/hyperlink" Target="https://doi.org/10.3390/met15090968" TargetMode="External"/><Relationship Id="rId155" Type="http://schemas.openxmlformats.org/officeDocument/2006/relationships/hyperlink" Target="https://doi.org/10.1007/s00170-019-03928-3?urlappend=%3Futm_source%3Dresearchgate.net%26utm_medium%3Darticle" TargetMode="External"/><Relationship Id="rId176" Type="http://schemas.openxmlformats.org/officeDocument/2006/relationships/hyperlink" Target="https://doi.org/10.1016/j.jmrt.2024.04.130" TargetMode="External"/><Relationship Id="rId197" Type="http://schemas.openxmlformats.org/officeDocument/2006/relationships/hyperlink" Target="https://doi.org/10.1016/j.jmrt.2025.08.099" TargetMode="External"/><Relationship Id="rId201" Type="http://schemas.openxmlformats.org/officeDocument/2006/relationships/hyperlink" Target="https://doi.org/10.1016/j.jmrt.2025.08.099" TargetMode="External"/><Relationship Id="rId222" Type="http://schemas.openxmlformats.org/officeDocument/2006/relationships/hyperlink" Target="https://doi.org/10.1111/ffe.13845" TargetMode="External"/><Relationship Id="rId17" Type="http://schemas.openxmlformats.org/officeDocument/2006/relationships/hyperlink" Target="https://doi.org/10.48550/arXiv.2308.16621" TargetMode="External"/><Relationship Id="rId38" Type="http://schemas.openxmlformats.org/officeDocument/2006/relationships/hyperlink" Target="https://doi.org/10.48550/arXiv.2308.16621" TargetMode="External"/><Relationship Id="rId59" Type="http://schemas.openxmlformats.org/officeDocument/2006/relationships/hyperlink" Target="https://doi.org/10.48550/arXiv.2308.16621" TargetMode="External"/><Relationship Id="rId103" Type="http://schemas.openxmlformats.org/officeDocument/2006/relationships/hyperlink" Target="https://doi.org/10.3390/met15090968" TargetMode="External"/><Relationship Id="rId124" Type="http://schemas.openxmlformats.org/officeDocument/2006/relationships/hyperlink" Target="https://doi.org/10.3390/met13050842" TargetMode="External"/><Relationship Id="rId70" Type="http://schemas.openxmlformats.org/officeDocument/2006/relationships/hyperlink" Target="https://doi.org/10.48550/arXiv.2308.16621" TargetMode="External"/><Relationship Id="rId91" Type="http://schemas.openxmlformats.org/officeDocument/2006/relationships/hyperlink" Target="https://doi.org/10.3390/met15090968" TargetMode="External"/><Relationship Id="rId145" Type="http://schemas.openxmlformats.org/officeDocument/2006/relationships/hyperlink" Target="https://doi.org/10.1007/s00170-019-03928-3?urlappend=%3Futm_source%3Dresearchgate.net%26utm_medium%3Darticle" TargetMode="External"/><Relationship Id="rId166" Type="http://schemas.openxmlformats.org/officeDocument/2006/relationships/hyperlink" Target="https://doi.org/10.3390/biomimetics10100680" TargetMode="External"/><Relationship Id="rId187" Type="http://schemas.openxmlformats.org/officeDocument/2006/relationships/hyperlink" Target="https://doi.org/10.1016/j.jmrt.2026.02.213" TargetMode="External"/><Relationship Id="rId1" Type="http://schemas.openxmlformats.org/officeDocument/2006/relationships/hyperlink" Target="https://doi.org/10.3390/ma18163899" TargetMode="External"/><Relationship Id="rId212" Type="http://schemas.openxmlformats.org/officeDocument/2006/relationships/hyperlink" Target="https://doi.org/10.1016/j.jallcom.2024.174470" TargetMode="External"/><Relationship Id="rId28" Type="http://schemas.openxmlformats.org/officeDocument/2006/relationships/hyperlink" Target="https://doi.org/10.48550/arXiv.2308.16621" TargetMode="External"/><Relationship Id="rId49" Type="http://schemas.openxmlformats.org/officeDocument/2006/relationships/hyperlink" Target="https://doi.org/10.48550/arXiv.2308.16621" TargetMode="External"/><Relationship Id="rId114" Type="http://schemas.openxmlformats.org/officeDocument/2006/relationships/hyperlink" Target="https://doi.org/10.3390/met13050842" TargetMode="External"/><Relationship Id="rId60" Type="http://schemas.openxmlformats.org/officeDocument/2006/relationships/hyperlink" Target="https://doi.org/10.48550/arXiv.2308.16621" TargetMode="External"/><Relationship Id="rId81" Type="http://schemas.openxmlformats.org/officeDocument/2006/relationships/hyperlink" Target="https://doi.org/10.3390/met15090968" TargetMode="External"/><Relationship Id="rId135" Type="http://schemas.openxmlformats.org/officeDocument/2006/relationships/hyperlink" Target="https://doi.org/10.3390/met13050842" TargetMode="External"/><Relationship Id="rId156" Type="http://schemas.openxmlformats.org/officeDocument/2006/relationships/hyperlink" Target="https://doi.org/10.1007/s00170-019-03928-3?urlappend=%3Futm_source%3Dresearchgate.net%26utm_medium%3Darticle" TargetMode="External"/><Relationship Id="rId177" Type="http://schemas.openxmlformats.org/officeDocument/2006/relationships/hyperlink" Target="https://doi.org/10.1016/j.jmrt.2024.04.130" TargetMode="External"/><Relationship Id="rId198" Type="http://schemas.openxmlformats.org/officeDocument/2006/relationships/hyperlink" Target="https://doi.org/10.1016/j.jmrt.2025.08.099" TargetMode="External"/><Relationship Id="rId202" Type="http://schemas.openxmlformats.org/officeDocument/2006/relationships/hyperlink" Target="https://doi.org/10.1016/j.jnucmat.2021.152849" TargetMode="External"/><Relationship Id="rId223" Type="http://schemas.openxmlformats.org/officeDocument/2006/relationships/hyperlink" Target="https://doi.org/10.1111/ffe.13845" TargetMode="External"/><Relationship Id="rId18" Type="http://schemas.openxmlformats.org/officeDocument/2006/relationships/hyperlink" Target="https://doi.org/10.48550/arXiv.2308.16621" TargetMode="External"/><Relationship Id="rId39" Type="http://schemas.openxmlformats.org/officeDocument/2006/relationships/hyperlink" Target="https://doi.org/10.48550/arXiv.2308.16621" TargetMode="External"/><Relationship Id="rId50" Type="http://schemas.openxmlformats.org/officeDocument/2006/relationships/hyperlink" Target="https://doi.org/10.48550/arXiv.2308.16621" TargetMode="External"/><Relationship Id="rId104" Type="http://schemas.openxmlformats.org/officeDocument/2006/relationships/hyperlink" Target="https://doi.org/10.3390/met15090968" TargetMode="External"/><Relationship Id="rId125" Type="http://schemas.openxmlformats.org/officeDocument/2006/relationships/hyperlink" Target="https://doi.org/10.3390/met13050842" TargetMode="External"/><Relationship Id="rId146" Type="http://schemas.openxmlformats.org/officeDocument/2006/relationships/hyperlink" Target="https://doi.org/10.1007/s00170-019-03928-3?urlappend=%3Futm_source%3Dresearchgate.net%26utm_medium%3Darticle" TargetMode="External"/><Relationship Id="rId167" Type="http://schemas.openxmlformats.org/officeDocument/2006/relationships/hyperlink" Target="https://doi.org/10.3390/biomimetics10100680" TargetMode="External"/><Relationship Id="rId188" Type="http://schemas.openxmlformats.org/officeDocument/2006/relationships/hyperlink" Target="https://doi.org/10.1016/j.prostr.2025.06.113" TargetMode="External"/><Relationship Id="rId71" Type="http://schemas.openxmlformats.org/officeDocument/2006/relationships/hyperlink" Target="https://doi.org/10.48550/arXiv.2308.16621" TargetMode="External"/><Relationship Id="rId92" Type="http://schemas.openxmlformats.org/officeDocument/2006/relationships/hyperlink" Target="https://doi.org/10.3390/met15090968" TargetMode="External"/><Relationship Id="rId213" Type="http://schemas.openxmlformats.org/officeDocument/2006/relationships/hyperlink" Target="https://doi.org/10.1016/j.matchar.2024.114435" TargetMode="External"/><Relationship Id="rId2" Type="http://schemas.openxmlformats.org/officeDocument/2006/relationships/hyperlink" Target="https://doi.org/10.3390/ma18163899" TargetMode="External"/><Relationship Id="rId29" Type="http://schemas.openxmlformats.org/officeDocument/2006/relationships/hyperlink" Target="https://doi.org/10.48550/arXiv.2308.16621" TargetMode="External"/><Relationship Id="rId40" Type="http://schemas.openxmlformats.org/officeDocument/2006/relationships/hyperlink" Target="https://doi.org/10.48550/arXiv.2308.16621" TargetMode="External"/><Relationship Id="rId115" Type="http://schemas.openxmlformats.org/officeDocument/2006/relationships/hyperlink" Target="https://doi.org/10.3390/met13050842" TargetMode="External"/><Relationship Id="rId136" Type="http://schemas.openxmlformats.org/officeDocument/2006/relationships/hyperlink" Target="https://doi.org/10.1007/s00170-019-03928-3?urlappend=%3Futm_source%3Dresearchgate.net%26utm_medium%3Darticle" TargetMode="External"/><Relationship Id="rId157" Type="http://schemas.openxmlformats.org/officeDocument/2006/relationships/hyperlink" Target="https://doi.org/10.1007/s00170-019-03928-3?urlappend=%3Futm_source%3Dresearchgate.net%26utm_medium%3Darticle" TargetMode="External"/><Relationship Id="rId178" Type="http://schemas.openxmlformats.org/officeDocument/2006/relationships/hyperlink" Target="https://doi.org/10.1007/s11665-025-11726-0" TargetMode="External"/><Relationship Id="rId61" Type="http://schemas.openxmlformats.org/officeDocument/2006/relationships/hyperlink" Target="https://doi.org/10.48550/arXiv.2308.16621" TargetMode="External"/><Relationship Id="rId82" Type="http://schemas.openxmlformats.org/officeDocument/2006/relationships/hyperlink" Target="https://doi.org/10.3390/met15090968" TargetMode="External"/><Relationship Id="rId199" Type="http://schemas.openxmlformats.org/officeDocument/2006/relationships/hyperlink" Target="https://doi.org/10.1016/j.jmrt.2025.08.099" TargetMode="External"/><Relationship Id="rId203" Type="http://schemas.openxmlformats.org/officeDocument/2006/relationships/hyperlink" Target="https://doi.org/10.1016/j.jnucmat.2021.152849" TargetMode="External"/><Relationship Id="rId19" Type="http://schemas.openxmlformats.org/officeDocument/2006/relationships/hyperlink" Target="https://doi.org/10.48550/arXiv.2308.16621" TargetMode="External"/><Relationship Id="rId224" Type="http://schemas.openxmlformats.org/officeDocument/2006/relationships/hyperlink" Target="https://doi.org/10.1016/j.msea.2021.142226" TargetMode="External"/><Relationship Id="rId30" Type="http://schemas.openxmlformats.org/officeDocument/2006/relationships/hyperlink" Target="https://doi.org/10.48550/arXiv.2308.16621" TargetMode="External"/><Relationship Id="rId105" Type="http://schemas.openxmlformats.org/officeDocument/2006/relationships/hyperlink" Target="https://doi.org/10.3390/met15090968" TargetMode="External"/><Relationship Id="rId126" Type="http://schemas.openxmlformats.org/officeDocument/2006/relationships/hyperlink" Target="https://doi.org/10.3390/met13050842" TargetMode="External"/><Relationship Id="rId147" Type="http://schemas.openxmlformats.org/officeDocument/2006/relationships/hyperlink" Target="https://doi.org/10.1007/s00170-019-03928-3?urlappend=%3Futm_source%3Dresearchgate.net%26utm_medium%3Darticle" TargetMode="External"/><Relationship Id="rId168" Type="http://schemas.openxmlformats.org/officeDocument/2006/relationships/hyperlink" Target="https://doi.org/10.3390/biomimetics10100680" TargetMode="External"/><Relationship Id="rId51" Type="http://schemas.openxmlformats.org/officeDocument/2006/relationships/hyperlink" Target="https://doi.org/10.48550/arXiv.2308.16621" TargetMode="External"/><Relationship Id="rId72" Type="http://schemas.openxmlformats.org/officeDocument/2006/relationships/hyperlink" Target="https://doi.org/10.48550/arXiv.2308.16621" TargetMode="External"/><Relationship Id="rId93" Type="http://schemas.openxmlformats.org/officeDocument/2006/relationships/hyperlink" Target="https://doi.org/10.3390/met15090968" TargetMode="External"/><Relationship Id="rId189" Type="http://schemas.openxmlformats.org/officeDocument/2006/relationships/hyperlink" Target="https://doi.org/10.1016/j.matdes.2025.114880" TargetMode="External"/><Relationship Id="rId3" Type="http://schemas.openxmlformats.org/officeDocument/2006/relationships/hyperlink" Target="https://doi.org/10.48550/arXiv.2308.16621" TargetMode="External"/><Relationship Id="rId214" Type="http://schemas.openxmlformats.org/officeDocument/2006/relationships/hyperlink" Target="https://doi.org/10.1016/j.matchemphys.2024.1293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5EF41-0773-4E70-8352-03EE75F7ED1E}">
  <dimension ref="A1:BG675"/>
  <sheetViews>
    <sheetView tabSelected="1" topLeftCell="A649" zoomScale="86" workbookViewId="0">
      <selection activeCell="I677" sqref="I677"/>
    </sheetView>
  </sheetViews>
  <sheetFormatPr defaultRowHeight="14.4" x14ac:dyDescent="0.3"/>
  <cols>
    <col min="1" max="14" width="8.88671875" style="18"/>
    <col min="15" max="15" width="17.5546875" style="26" customWidth="1"/>
    <col min="16" max="17" width="17.5546875" style="18" customWidth="1"/>
    <col min="18" max="18" width="49.44140625" customWidth="1"/>
    <col min="35" max="35" width="8.88671875" customWidth="1"/>
  </cols>
  <sheetData>
    <row r="1" spans="1:59" ht="69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  <c r="I1" s="11" t="s">
        <v>8</v>
      </c>
      <c r="J1" s="12" t="s">
        <v>9</v>
      </c>
      <c r="K1" s="13" t="s">
        <v>10</v>
      </c>
      <c r="L1" s="14" t="s">
        <v>11</v>
      </c>
      <c r="M1" s="14" t="s">
        <v>12</v>
      </c>
      <c r="N1" s="16" t="s">
        <v>13</v>
      </c>
      <c r="O1" s="22" t="s">
        <v>14</v>
      </c>
      <c r="P1" s="16" t="s">
        <v>15</v>
      </c>
      <c r="Q1" s="16" t="s">
        <v>16</v>
      </c>
      <c r="R1" s="16" t="s">
        <v>17</v>
      </c>
      <c r="AN1" s="15"/>
      <c r="AO1" s="15"/>
      <c r="AP1" s="15"/>
      <c r="AQ1" s="15"/>
    </row>
    <row r="2" spans="1:59" x14ac:dyDescent="0.3">
      <c r="A2" s="2">
        <v>200</v>
      </c>
      <c r="B2" s="2">
        <v>1000</v>
      </c>
      <c r="C2" s="2">
        <v>50</v>
      </c>
      <c r="D2" s="2">
        <v>80</v>
      </c>
      <c r="E2" s="2">
        <v>75</v>
      </c>
      <c r="F2" s="2" t="s">
        <v>18</v>
      </c>
      <c r="G2" s="2">
        <v>90</v>
      </c>
      <c r="H2" s="3">
        <v>200</v>
      </c>
      <c r="I2" s="3">
        <v>50</v>
      </c>
      <c r="J2" s="3" t="s">
        <v>19</v>
      </c>
      <c r="K2" s="2"/>
      <c r="L2" s="2">
        <v>487</v>
      </c>
      <c r="M2" s="2">
        <v>594</v>
      </c>
      <c r="O2" s="23"/>
      <c r="P2" s="2"/>
      <c r="Q2" s="2"/>
      <c r="R2" s="20" t="s">
        <v>20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2"/>
      <c r="AF2" s="2"/>
      <c r="AG2" s="2"/>
      <c r="AH2" s="3"/>
      <c r="AI2" s="3"/>
      <c r="AJ2" s="3"/>
      <c r="AK2" s="3"/>
      <c r="AL2" s="3"/>
      <c r="AM2" s="3"/>
      <c r="AN2" s="3"/>
      <c r="AO2" s="2"/>
      <c r="AP2" s="3"/>
      <c r="AQ2" s="2"/>
      <c r="AR2" s="2"/>
      <c r="AS2" s="2"/>
      <c r="AT2" s="3"/>
      <c r="AU2" s="2"/>
      <c r="AV2" s="3"/>
      <c r="AW2" s="2"/>
      <c r="AX2" s="3"/>
      <c r="AY2" s="3"/>
      <c r="AZ2" s="3"/>
      <c r="BA2" s="3"/>
      <c r="BB2" s="3"/>
      <c r="BC2" s="3"/>
      <c r="BD2" s="3"/>
      <c r="BE2" s="3"/>
      <c r="BF2" s="3"/>
      <c r="BG2" s="3" t="str">
        <f t="shared" ref="BG2:BG62" si="0">IF(COUNT(AU2,AS2,AW2)=3, ((AU2-AS2)/AW2), "")</f>
        <v/>
      </c>
    </row>
    <row r="3" spans="1:59" x14ac:dyDescent="0.3">
      <c r="A3" s="2">
        <v>200</v>
      </c>
      <c r="B3" s="2">
        <v>1000</v>
      </c>
      <c r="C3" s="2">
        <v>50</v>
      </c>
      <c r="D3" s="2">
        <v>80</v>
      </c>
      <c r="E3" s="2">
        <v>75</v>
      </c>
      <c r="F3" s="2" t="s">
        <v>18</v>
      </c>
      <c r="G3" s="2">
        <v>90</v>
      </c>
      <c r="H3" s="3">
        <v>200</v>
      </c>
      <c r="I3" s="3">
        <v>50</v>
      </c>
      <c r="J3" s="3" t="s">
        <v>19</v>
      </c>
      <c r="K3" s="2"/>
      <c r="L3" s="2">
        <v>376</v>
      </c>
      <c r="M3" s="2">
        <v>461</v>
      </c>
      <c r="O3" s="23"/>
      <c r="P3" s="2"/>
      <c r="Q3" s="2"/>
      <c r="R3" s="20" t="s">
        <v>20</v>
      </c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2"/>
      <c r="AF3" s="2"/>
      <c r="AG3" s="2"/>
      <c r="AH3" s="3"/>
      <c r="AI3" s="3"/>
      <c r="AJ3" s="3"/>
      <c r="AK3" s="3"/>
      <c r="AL3" s="3"/>
      <c r="AM3" s="3"/>
      <c r="AN3" s="3"/>
      <c r="AO3" s="2"/>
      <c r="AP3" s="3"/>
      <c r="AQ3" s="2"/>
      <c r="AR3" s="2"/>
      <c r="AS3" s="2"/>
      <c r="AT3" s="3"/>
      <c r="AU3" s="2"/>
      <c r="AV3" s="3"/>
      <c r="AW3" s="2"/>
      <c r="AX3" s="3"/>
      <c r="AY3" s="3"/>
      <c r="AZ3" s="3"/>
      <c r="BA3" s="3"/>
      <c r="BB3" s="3"/>
      <c r="BC3" s="3"/>
      <c r="BD3" s="3"/>
      <c r="BE3" s="3"/>
      <c r="BF3" s="3"/>
      <c r="BG3" s="3" t="str">
        <f t="shared" si="0"/>
        <v/>
      </c>
    </row>
    <row r="4" spans="1:59" x14ac:dyDescent="0.3">
      <c r="A4" s="2">
        <v>175</v>
      </c>
      <c r="B4" s="2">
        <v>800</v>
      </c>
      <c r="C4" s="2">
        <v>40</v>
      </c>
      <c r="D4" s="2">
        <v>120</v>
      </c>
      <c r="E4" s="2">
        <v>100</v>
      </c>
      <c r="F4" s="2" t="s">
        <v>18</v>
      </c>
      <c r="G4" s="2">
        <v>90</v>
      </c>
      <c r="H4" s="3">
        <v>218.75</v>
      </c>
      <c r="I4" s="3">
        <v>45.572916666666671</v>
      </c>
      <c r="J4" s="3" t="s">
        <v>21</v>
      </c>
      <c r="K4" s="4">
        <v>214</v>
      </c>
      <c r="L4" s="2">
        <v>567</v>
      </c>
      <c r="M4" s="2">
        <v>685</v>
      </c>
      <c r="O4" s="23"/>
      <c r="P4" s="2"/>
      <c r="Q4" s="2"/>
      <c r="R4" s="20" t="s">
        <v>20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2"/>
      <c r="AF4" s="2"/>
      <c r="AG4" s="2"/>
      <c r="AH4" s="3"/>
      <c r="AI4" s="3"/>
      <c r="AJ4" s="3"/>
      <c r="AK4" s="3"/>
      <c r="AL4" s="3"/>
      <c r="AM4" s="3"/>
      <c r="AN4" s="3"/>
      <c r="AO4" s="4"/>
      <c r="AP4" s="3"/>
      <c r="AQ4" s="2"/>
      <c r="AR4" s="2"/>
      <c r="AS4" s="2"/>
      <c r="AT4" s="3"/>
      <c r="AU4" s="2"/>
      <c r="AV4" s="3"/>
      <c r="AW4" s="2"/>
      <c r="AX4" s="3"/>
      <c r="AY4" s="3"/>
      <c r="AZ4" s="3"/>
      <c r="BA4" s="3"/>
      <c r="BB4" s="3"/>
      <c r="BC4" s="3"/>
      <c r="BD4" s="3"/>
      <c r="BE4" s="3"/>
      <c r="BF4" s="3"/>
      <c r="BG4" s="3" t="str">
        <f t="shared" si="0"/>
        <v/>
      </c>
    </row>
    <row r="5" spans="1:59" x14ac:dyDescent="0.3">
      <c r="A5" s="2">
        <v>185</v>
      </c>
      <c r="B5" s="2">
        <v>800</v>
      </c>
      <c r="C5" s="2">
        <v>40</v>
      </c>
      <c r="D5" s="2">
        <v>120</v>
      </c>
      <c r="E5" s="2">
        <v>100</v>
      </c>
      <c r="F5" s="2" t="s">
        <v>18</v>
      </c>
      <c r="G5" s="2">
        <v>90</v>
      </c>
      <c r="H5" s="3">
        <v>231.25</v>
      </c>
      <c r="I5" s="3">
        <v>48.177083333333336</v>
      </c>
      <c r="J5" s="3" t="s">
        <v>21</v>
      </c>
      <c r="K5" s="4">
        <v>218</v>
      </c>
      <c r="L5" s="2">
        <v>574</v>
      </c>
      <c r="M5" s="2">
        <v>692</v>
      </c>
      <c r="O5" s="23"/>
      <c r="P5" s="2"/>
      <c r="Q5" s="2"/>
      <c r="R5" s="20" t="s">
        <v>20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2"/>
      <c r="AF5" s="2"/>
      <c r="AG5" s="2"/>
      <c r="AH5" s="3"/>
      <c r="AI5" s="3"/>
      <c r="AJ5" s="3"/>
      <c r="AK5" s="3"/>
      <c r="AL5" s="3"/>
      <c r="AM5" s="3"/>
      <c r="AN5" s="3"/>
      <c r="AO5" s="4"/>
      <c r="AP5" s="3"/>
      <c r="AQ5" s="2"/>
      <c r="AR5" s="2"/>
      <c r="AS5" s="2"/>
      <c r="AT5" s="3"/>
      <c r="AU5" s="2"/>
      <c r="AV5" s="3"/>
      <c r="AW5" s="2"/>
      <c r="AX5" s="3"/>
      <c r="AY5" s="3"/>
      <c r="AZ5" s="3"/>
      <c r="BA5" s="3"/>
      <c r="BB5" s="3"/>
      <c r="BC5" s="3"/>
      <c r="BD5" s="3"/>
      <c r="BE5" s="3"/>
      <c r="BF5" s="3"/>
      <c r="BG5" s="3" t="str">
        <f t="shared" si="0"/>
        <v/>
      </c>
    </row>
    <row r="6" spans="1:59" x14ac:dyDescent="0.3">
      <c r="A6" s="2">
        <v>190</v>
      </c>
      <c r="B6" s="2">
        <v>800</v>
      </c>
      <c r="C6" s="2">
        <v>40</v>
      </c>
      <c r="D6" s="2">
        <v>120</v>
      </c>
      <c r="E6" s="2">
        <v>100</v>
      </c>
      <c r="F6" s="2" t="s">
        <v>18</v>
      </c>
      <c r="G6" s="2">
        <v>90</v>
      </c>
      <c r="H6" s="3">
        <v>237.5</v>
      </c>
      <c r="I6" s="3">
        <v>49.479166666666664</v>
      </c>
      <c r="J6" s="3" t="s">
        <v>21</v>
      </c>
      <c r="K6" s="4">
        <v>224</v>
      </c>
      <c r="L6" s="2">
        <v>582</v>
      </c>
      <c r="M6" s="2">
        <v>708</v>
      </c>
      <c r="O6" s="23"/>
      <c r="P6" s="2"/>
      <c r="Q6" s="2"/>
      <c r="R6" s="20" t="s">
        <v>20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2"/>
      <c r="AF6" s="2"/>
      <c r="AG6" s="2"/>
      <c r="AH6" s="3"/>
      <c r="AI6" s="3"/>
      <c r="AJ6" s="3"/>
      <c r="AK6" s="3"/>
      <c r="AL6" s="3"/>
      <c r="AM6" s="3"/>
      <c r="AN6" s="3"/>
      <c r="AO6" s="4"/>
      <c r="AP6" s="3"/>
      <c r="AQ6" s="2"/>
      <c r="AR6" s="2"/>
      <c r="AS6" s="2"/>
      <c r="AT6" s="3"/>
      <c r="AU6" s="2"/>
      <c r="AV6" s="3"/>
      <c r="AW6" s="2"/>
      <c r="AX6" s="3"/>
      <c r="AY6" s="3"/>
      <c r="AZ6" s="3"/>
      <c r="BA6" s="3"/>
      <c r="BB6" s="3"/>
      <c r="BC6" s="3"/>
      <c r="BD6" s="3"/>
      <c r="BE6" s="3"/>
      <c r="BF6" s="3"/>
      <c r="BG6" s="3" t="str">
        <f t="shared" si="0"/>
        <v/>
      </c>
    </row>
    <row r="7" spans="1:59" x14ac:dyDescent="0.3">
      <c r="A7" s="2">
        <v>90</v>
      </c>
      <c r="B7" s="2">
        <v>600</v>
      </c>
      <c r="C7" s="2">
        <v>25</v>
      </c>
      <c r="D7" s="5">
        <v>84</v>
      </c>
      <c r="E7" s="2">
        <v>35</v>
      </c>
      <c r="F7" s="2" t="s">
        <v>18</v>
      </c>
      <c r="G7" s="2">
        <v>90</v>
      </c>
      <c r="H7" s="3">
        <v>150</v>
      </c>
      <c r="I7" s="3">
        <v>71.428571428571431</v>
      </c>
      <c r="J7" s="3"/>
      <c r="K7" s="2"/>
      <c r="L7" s="2">
        <v>520</v>
      </c>
      <c r="M7" s="2">
        <v>585</v>
      </c>
      <c r="O7" s="23"/>
      <c r="P7" s="2"/>
      <c r="Q7" s="2"/>
      <c r="R7" s="20" t="s">
        <v>20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2"/>
      <c r="AF7" s="2"/>
      <c r="AG7" s="2"/>
      <c r="AH7" s="3"/>
      <c r="AI7" s="3"/>
      <c r="AJ7" s="3"/>
      <c r="AK7" s="3"/>
      <c r="AL7" s="3"/>
      <c r="AM7" s="3"/>
      <c r="AN7" s="3"/>
      <c r="AO7" s="2"/>
      <c r="AP7" s="3"/>
      <c r="AQ7" s="2"/>
      <c r="AR7" s="2"/>
      <c r="AS7" s="2"/>
      <c r="AT7" s="3"/>
      <c r="AU7" s="2"/>
      <c r="AV7" s="3"/>
      <c r="AW7" s="2"/>
      <c r="AX7" s="3"/>
      <c r="AY7" s="3"/>
      <c r="AZ7" s="3"/>
      <c r="BA7" s="3"/>
      <c r="BB7" s="3"/>
      <c r="BC7" s="3"/>
      <c r="BD7" s="3"/>
      <c r="BE7" s="3"/>
      <c r="BF7" s="3"/>
      <c r="BG7" s="3" t="str">
        <f t="shared" si="0"/>
        <v/>
      </c>
    </row>
    <row r="8" spans="1:59" x14ac:dyDescent="0.3">
      <c r="A8" s="2">
        <v>100</v>
      </c>
      <c r="B8" s="2">
        <v>200</v>
      </c>
      <c r="C8" s="2">
        <v>50</v>
      </c>
      <c r="D8" s="5">
        <v>120</v>
      </c>
      <c r="E8" s="2">
        <v>200</v>
      </c>
      <c r="F8" s="2" t="s">
        <v>18</v>
      </c>
      <c r="G8" s="2">
        <v>90</v>
      </c>
      <c r="H8" s="3">
        <v>500</v>
      </c>
      <c r="I8" s="3">
        <v>83.333333333333329</v>
      </c>
      <c r="J8" s="3" t="s">
        <v>22</v>
      </c>
      <c r="K8" s="2">
        <v>247</v>
      </c>
      <c r="L8" s="2">
        <v>517</v>
      </c>
      <c r="M8" s="2">
        <v>687</v>
      </c>
      <c r="O8" s="23"/>
      <c r="P8" s="2"/>
      <c r="Q8" s="2"/>
      <c r="R8" s="20" t="s">
        <v>20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2"/>
      <c r="AF8" s="2"/>
      <c r="AG8" s="2"/>
      <c r="AH8" s="3"/>
      <c r="AI8" s="3"/>
      <c r="AJ8" s="3"/>
      <c r="AK8" s="3"/>
      <c r="AL8" s="3"/>
      <c r="AM8" s="3"/>
      <c r="AN8" s="3"/>
      <c r="AO8" s="2"/>
      <c r="AP8" s="3"/>
      <c r="AQ8" s="2"/>
      <c r="AR8" s="2"/>
      <c r="AS8" s="2"/>
      <c r="AT8" s="3"/>
      <c r="AU8" s="2"/>
      <c r="AV8" s="3"/>
      <c r="AW8" s="2"/>
      <c r="AX8" s="3"/>
      <c r="AY8" s="3"/>
      <c r="AZ8" s="3"/>
      <c r="BA8" s="3"/>
      <c r="BB8" s="3"/>
      <c r="BC8" s="3"/>
      <c r="BD8" s="3"/>
      <c r="BE8" s="3"/>
      <c r="BF8" s="3"/>
      <c r="BG8" s="3" t="str">
        <f t="shared" si="0"/>
        <v/>
      </c>
    </row>
    <row r="9" spans="1:59" x14ac:dyDescent="0.3">
      <c r="A9" s="2">
        <v>100</v>
      </c>
      <c r="B9" s="2">
        <v>200</v>
      </c>
      <c r="C9" s="2">
        <v>50</v>
      </c>
      <c r="D9" s="5">
        <v>120</v>
      </c>
      <c r="E9" s="2">
        <v>200</v>
      </c>
      <c r="F9" s="2" t="s">
        <v>18</v>
      </c>
      <c r="G9" s="2">
        <v>90</v>
      </c>
      <c r="H9" s="3">
        <v>500</v>
      </c>
      <c r="I9" s="3">
        <v>83.333333333333329</v>
      </c>
      <c r="J9" s="3" t="s">
        <v>22</v>
      </c>
      <c r="K9" s="2"/>
      <c r="L9" s="2">
        <v>463</v>
      </c>
      <c r="M9" s="2">
        <v>687</v>
      </c>
      <c r="O9" s="23"/>
      <c r="P9" s="2"/>
      <c r="Q9" s="2"/>
      <c r="R9" s="20" t="s">
        <v>20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2"/>
      <c r="AF9" s="2"/>
      <c r="AG9" s="2"/>
      <c r="AH9" s="3"/>
      <c r="AI9" s="3"/>
      <c r="AJ9" s="3"/>
      <c r="AK9" s="3"/>
      <c r="AL9" s="3"/>
      <c r="AM9" s="3"/>
      <c r="AN9" s="3"/>
      <c r="AO9" s="2"/>
      <c r="AP9" s="3"/>
      <c r="AQ9" s="2"/>
      <c r="AR9" s="2"/>
      <c r="AS9" s="2"/>
      <c r="AT9" s="3"/>
      <c r="AU9" s="2"/>
      <c r="AV9" s="3"/>
      <c r="AW9" s="2"/>
      <c r="AX9" s="3"/>
      <c r="AY9" s="3"/>
      <c r="AZ9" s="3"/>
      <c r="BA9" s="3"/>
      <c r="BB9" s="3"/>
      <c r="BC9" s="3"/>
      <c r="BD9" s="3"/>
      <c r="BE9" s="3"/>
      <c r="BF9" s="3"/>
      <c r="BG9" s="3" t="str">
        <f t="shared" si="0"/>
        <v/>
      </c>
    </row>
    <row r="10" spans="1:59" x14ac:dyDescent="0.3">
      <c r="A10" s="2">
        <v>100</v>
      </c>
      <c r="B10" s="2">
        <v>200</v>
      </c>
      <c r="C10" s="2">
        <v>50</v>
      </c>
      <c r="D10" s="5">
        <v>120</v>
      </c>
      <c r="E10" s="2">
        <v>200</v>
      </c>
      <c r="F10" s="2" t="s">
        <v>18</v>
      </c>
      <c r="G10" s="2">
        <v>90</v>
      </c>
      <c r="H10" s="3">
        <v>500</v>
      </c>
      <c r="I10" s="3">
        <v>83.333333333333329</v>
      </c>
      <c r="J10" s="3" t="s">
        <v>22</v>
      </c>
      <c r="K10" s="2">
        <v>221</v>
      </c>
      <c r="L10" s="2">
        <v>454</v>
      </c>
      <c r="M10" s="2">
        <v>750</v>
      </c>
      <c r="O10" s="23"/>
      <c r="P10" s="2"/>
      <c r="Q10" s="2"/>
      <c r="R10" s="20" t="s">
        <v>20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2"/>
      <c r="AF10" s="2"/>
      <c r="AG10" s="2"/>
      <c r="AH10" s="3"/>
      <c r="AI10" s="3"/>
      <c r="AJ10" s="3"/>
      <c r="AK10" s="3"/>
      <c r="AL10" s="3"/>
      <c r="AM10" s="3"/>
      <c r="AN10" s="3"/>
      <c r="AO10" s="2"/>
      <c r="AP10" s="3"/>
      <c r="AQ10" s="2"/>
      <c r="AR10" s="2"/>
      <c r="AS10" s="2"/>
      <c r="AT10" s="3"/>
      <c r="AU10" s="2"/>
      <c r="AV10" s="3"/>
      <c r="AW10" s="2"/>
      <c r="AX10" s="3"/>
      <c r="AY10" s="3"/>
      <c r="AZ10" s="3"/>
      <c r="BA10" s="3"/>
      <c r="BB10" s="3"/>
      <c r="BC10" s="3"/>
      <c r="BD10" s="3"/>
      <c r="BE10" s="3"/>
      <c r="BF10" s="3"/>
      <c r="BG10" s="3" t="str">
        <f t="shared" si="0"/>
        <v/>
      </c>
    </row>
    <row r="11" spans="1:59" x14ac:dyDescent="0.3">
      <c r="A11" s="2">
        <v>100</v>
      </c>
      <c r="B11" s="2">
        <v>200</v>
      </c>
      <c r="C11" s="2">
        <v>50</v>
      </c>
      <c r="D11" s="5">
        <v>120</v>
      </c>
      <c r="E11" s="2">
        <v>200</v>
      </c>
      <c r="F11" s="2" t="s">
        <v>18</v>
      </c>
      <c r="G11" s="2">
        <v>90</v>
      </c>
      <c r="H11" s="3">
        <v>500</v>
      </c>
      <c r="I11" s="3">
        <v>83.333333333333329</v>
      </c>
      <c r="J11" s="3" t="s">
        <v>22</v>
      </c>
      <c r="K11" s="2"/>
      <c r="L11" s="2">
        <v>440</v>
      </c>
      <c r="M11" s="2">
        <v>662</v>
      </c>
      <c r="O11" s="23"/>
      <c r="P11" s="2"/>
      <c r="Q11" s="2"/>
      <c r="R11" s="20" t="s">
        <v>20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2"/>
      <c r="AF11" s="2"/>
      <c r="AG11" s="2"/>
      <c r="AH11" s="3"/>
      <c r="AI11" s="3"/>
      <c r="AJ11" s="3"/>
      <c r="AK11" s="3"/>
      <c r="AL11" s="3"/>
      <c r="AM11" s="3"/>
      <c r="AN11" s="3"/>
      <c r="AO11" s="2"/>
      <c r="AP11" s="3"/>
      <c r="AQ11" s="2"/>
      <c r="AR11" s="2"/>
      <c r="AS11" s="2"/>
      <c r="AT11" s="3"/>
      <c r="AU11" s="2"/>
      <c r="AV11" s="3"/>
      <c r="AW11" s="2"/>
      <c r="AX11" s="3"/>
      <c r="AY11" s="3"/>
      <c r="AZ11" s="3"/>
      <c r="BA11" s="3"/>
      <c r="BB11" s="3"/>
      <c r="BC11" s="3"/>
      <c r="BD11" s="3"/>
      <c r="BE11" s="3"/>
      <c r="BF11" s="3"/>
      <c r="BG11" s="3" t="str">
        <f t="shared" si="0"/>
        <v/>
      </c>
    </row>
    <row r="12" spans="1:59" x14ac:dyDescent="0.3">
      <c r="A12" s="2">
        <v>100</v>
      </c>
      <c r="B12" s="2">
        <v>200</v>
      </c>
      <c r="C12" s="2">
        <v>50</v>
      </c>
      <c r="D12" s="5">
        <v>120</v>
      </c>
      <c r="E12" s="2">
        <v>200</v>
      </c>
      <c r="F12" s="2" t="s">
        <v>18</v>
      </c>
      <c r="G12" s="2">
        <v>90</v>
      </c>
      <c r="H12" s="3">
        <v>500</v>
      </c>
      <c r="I12" s="3">
        <v>83.333333333333329</v>
      </c>
      <c r="J12" s="3" t="s">
        <v>22</v>
      </c>
      <c r="K12" s="2"/>
      <c r="L12" s="2">
        <v>409</v>
      </c>
      <c r="M12" s="2">
        <v>674</v>
      </c>
      <c r="O12" s="23"/>
      <c r="P12" s="2"/>
      <c r="Q12" s="2"/>
      <c r="R12" s="20" t="s">
        <v>20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2"/>
      <c r="AF12" s="2"/>
      <c r="AG12" s="2"/>
      <c r="AH12" s="3"/>
      <c r="AI12" s="3"/>
      <c r="AJ12" s="3"/>
      <c r="AK12" s="3"/>
      <c r="AL12" s="3"/>
      <c r="AM12" s="3"/>
      <c r="AN12" s="3"/>
      <c r="AO12" s="2"/>
      <c r="AP12" s="3"/>
      <c r="AQ12" s="2"/>
      <c r="AR12" s="2"/>
      <c r="AS12" s="2"/>
      <c r="AT12" s="3"/>
      <c r="AU12" s="2"/>
      <c r="AV12" s="3"/>
      <c r="AW12" s="2"/>
      <c r="AX12" s="3"/>
      <c r="AY12" s="3"/>
      <c r="AZ12" s="3"/>
      <c r="BA12" s="3"/>
      <c r="BB12" s="3"/>
      <c r="BC12" s="3"/>
      <c r="BD12" s="3"/>
      <c r="BE12" s="3"/>
      <c r="BF12" s="3"/>
      <c r="BG12" s="3" t="str">
        <f t="shared" si="0"/>
        <v/>
      </c>
    </row>
    <row r="13" spans="1:59" x14ac:dyDescent="0.3">
      <c r="A13" s="2">
        <v>350</v>
      </c>
      <c r="B13" s="2">
        <v>1000</v>
      </c>
      <c r="C13" s="2">
        <v>60</v>
      </c>
      <c r="D13" s="2">
        <v>200</v>
      </c>
      <c r="E13" s="2">
        <v>100</v>
      </c>
      <c r="F13" s="2" t="s">
        <v>18</v>
      </c>
      <c r="G13" s="2">
        <v>55</v>
      </c>
      <c r="H13" s="3">
        <v>350</v>
      </c>
      <c r="I13" s="3">
        <v>29.166666666666668</v>
      </c>
      <c r="J13" s="3" t="s">
        <v>19</v>
      </c>
      <c r="K13" s="2"/>
      <c r="L13" s="2">
        <v>439</v>
      </c>
      <c r="M13" s="2">
        <v>579</v>
      </c>
      <c r="O13" s="23"/>
      <c r="P13" s="2"/>
      <c r="Q13" s="2"/>
      <c r="R13" s="20" t="s">
        <v>20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2"/>
      <c r="AF13" s="2"/>
      <c r="AG13" s="2"/>
      <c r="AH13" s="3"/>
      <c r="AI13" s="3"/>
      <c r="AJ13" s="3"/>
      <c r="AK13" s="3"/>
      <c r="AL13" s="3"/>
      <c r="AM13" s="3"/>
      <c r="AN13" s="3"/>
      <c r="AO13" s="2"/>
      <c r="AP13" s="3"/>
      <c r="AQ13" s="2"/>
      <c r="AR13" s="2"/>
      <c r="AS13" s="2"/>
      <c r="AT13" s="3"/>
      <c r="AU13" s="2"/>
      <c r="AV13" s="3"/>
      <c r="AW13" s="2"/>
      <c r="AX13" s="3"/>
      <c r="AY13" s="3"/>
      <c r="AZ13" s="3"/>
      <c r="BA13" s="3"/>
      <c r="BB13" s="3"/>
      <c r="BC13" s="3"/>
      <c r="BD13" s="3"/>
      <c r="BE13" s="3"/>
      <c r="BF13" s="3"/>
      <c r="BG13" s="3" t="str">
        <f t="shared" si="0"/>
        <v/>
      </c>
    </row>
    <row r="14" spans="1:59" x14ac:dyDescent="0.3">
      <c r="A14" s="2">
        <v>350</v>
      </c>
      <c r="B14" s="2">
        <v>1000</v>
      </c>
      <c r="C14" s="2">
        <v>60</v>
      </c>
      <c r="D14" s="2">
        <v>200</v>
      </c>
      <c r="E14" s="2">
        <v>100</v>
      </c>
      <c r="F14" s="2" t="s">
        <v>18</v>
      </c>
      <c r="G14" s="2">
        <v>55</v>
      </c>
      <c r="H14" s="3">
        <v>350</v>
      </c>
      <c r="I14" s="3">
        <v>29.166666666666668</v>
      </c>
      <c r="J14" s="3" t="s">
        <v>19</v>
      </c>
      <c r="K14" s="2"/>
      <c r="L14" s="2">
        <v>445</v>
      </c>
      <c r="M14" s="2">
        <v>585</v>
      </c>
      <c r="O14" s="23"/>
      <c r="P14" s="2"/>
      <c r="Q14" s="2"/>
      <c r="R14" s="20" t="s">
        <v>20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2"/>
      <c r="AF14" s="2"/>
      <c r="AG14" s="2"/>
      <c r="AH14" s="3"/>
      <c r="AI14" s="3"/>
      <c r="AJ14" s="3"/>
      <c r="AK14" s="3"/>
      <c r="AL14" s="3"/>
      <c r="AM14" s="3"/>
      <c r="AN14" s="3"/>
      <c r="AO14" s="2"/>
      <c r="AP14" s="3"/>
      <c r="AQ14" s="2"/>
      <c r="AR14" s="2"/>
      <c r="AS14" s="2"/>
      <c r="AT14" s="3"/>
      <c r="AU14" s="2"/>
      <c r="AV14" s="3"/>
      <c r="AW14" s="2"/>
      <c r="AX14" s="3"/>
      <c r="AY14" s="3"/>
      <c r="AZ14" s="3"/>
      <c r="BA14" s="3"/>
      <c r="BB14" s="3"/>
      <c r="BC14" s="3"/>
      <c r="BD14" s="3"/>
      <c r="BE14" s="3"/>
      <c r="BF14" s="3"/>
      <c r="BG14" s="3" t="str">
        <f t="shared" si="0"/>
        <v/>
      </c>
    </row>
    <row r="15" spans="1:59" x14ac:dyDescent="0.3">
      <c r="A15" s="2">
        <v>350</v>
      </c>
      <c r="B15" s="2">
        <v>1000</v>
      </c>
      <c r="C15" s="2">
        <v>60</v>
      </c>
      <c r="D15" s="2">
        <v>200</v>
      </c>
      <c r="E15" s="2">
        <v>100</v>
      </c>
      <c r="F15" s="2" t="s">
        <v>18</v>
      </c>
      <c r="G15" s="2">
        <v>55</v>
      </c>
      <c r="H15" s="3">
        <v>350</v>
      </c>
      <c r="I15" s="3">
        <v>29.166666666666668</v>
      </c>
      <c r="J15" s="3" t="s">
        <v>19</v>
      </c>
      <c r="K15" s="2"/>
      <c r="L15" s="2">
        <v>365</v>
      </c>
      <c r="M15" s="2">
        <v>582</v>
      </c>
      <c r="O15" s="23"/>
      <c r="P15" s="2"/>
      <c r="Q15" s="2"/>
      <c r="R15" s="20" t="s">
        <v>20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2"/>
      <c r="AF15" s="2"/>
      <c r="AG15" s="2"/>
      <c r="AH15" s="3"/>
      <c r="AI15" s="3"/>
      <c r="AJ15" s="3"/>
      <c r="AK15" s="3"/>
      <c r="AL15" s="3"/>
      <c r="AM15" s="3"/>
      <c r="AN15" s="3"/>
      <c r="AO15" s="2"/>
      <c r="AP15" s="3"/>
      <c r="AQ15" s="2"/>
      <c r="AR15" s="2"/>
      <c r="AS15" s="2"/>
      <c r="AT15" s="3"/>
      <c r="AU15" s="2"/>
      <c r="AV15" s="3"/>
      <c r="AW15" s="2"/>
      <c r="AX15" s="3"/>
      <c r="AY15" s="3"/>
      <c r="AZ15" s="3"/>
      <c r="BA15" s="3"/>
      <c r="BB15" s="3"/>
      <c r="BC15" s="3"/>
      <c r="BD15" s="3"/>
      <c r="BE15" s="3"/>
      <c r="BF15" s="3"/>
      <c r="BG15" s="3" t="str">
        <f t="shared" si="0"/>
        <v/>
      </c>
    </row>
    <row r="16" spans="1:59" x14ac:dyDescent="0.3">
      <c r="A16" s="2">
        <v>350</v>
      </c>
      <c r="B16" s="2">
        <v>1000</v>
      </c>
      <c r="C16" s="2">
        <v>60</v>
      </c>
      <c r="D16" s="2">
        <v>200</v>
      </c>
      <c r="E16" s="2">
        <v>100</v>
      </c>
      <c r="F16" s="2" t="s">
        <v>18</v>
      </c>
      <c r="G16" s="2">
        <v>55</v>
      </c>
      <c r="H16" s="3">
        <v>350</v>
      </c>
      <c r="I16" s="3">
        <v>29.166666666666668</v>
      </c>
      <c r="J16" s="3" t="s">
        <v>19</v>
      </c>
      <c r="K16" s="2"/>
      <c r="L16" s="2">
        <v>370</v>
      </c>
      <c r="M16" s="2">
        <v>595</v>
      </c>
      <c r="O16" s="23"/>
      <c r="P16" s="2"/>
      <c r="Q16" s="2"/>
      <c r="R16" s="20" t="s">
        <v>20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2"/>
      <c r="AF16" s="2"/>
      <c r="AG16" s="2"/>
      <c r="AH16" s="3"/>
      <c r="AI16" s="3"/>
      <c r="AJ16" s="3"/>
      <c r="AK16" s="3"/>
      <c r="AL16" s="3"/>
      <c r="AM16" s="3"/>
      <c r="AN16" s="3"/>
      <c r="AO16" s="2"/>
      <c r="AP16" s="3"/>
      <c r="AQ16" s="2"/>
      <c r="AR16" s="2"/>
      <c r="AS16" s="2"/>
      <c r="AT16" s="3"/>
      <c r="AU16" s="2"/>
      <c r="AV16" s="3"/>
      <c r="AW16" s="2"/>
      <c r="AX16" s="3"/>
      <c r="AY16" s="3"/>
      <c r="AZ16" s="3"/>
      <c r="BA16" s="3"/>
      <c r="BB16" s="3"/>
      <c r="BC16" s="3"/>
      <c r="BD16" s="3"/>
      <c r="BE16" s="3"/>
      <c r="BF16" s="3"/>
      <c r="BG16" s="3" t="str">
        <f t="shared" si="0"/>
        <v/>
      </c>
    </row>
    <row r="17" spans="1:59" x14ac:dyDescent="0.3">
      <c r="A17" s="2">
        <v>350</v>
      </c>
      <c r="B17" s="2">
        <v>1000</v>
      </c>
      <c r="C17" s="2">
        <v>60</v>
      </c>
      <c r="D17" s="2">
        <v>200</v>
      </c>
      <c r="E17" s="2">
        <v>100</v>
      </c>
      <c r="F17" s="2" t="s">
        <v>18</v>
      </c>
      <c r="G17" s="2">
        <v>55</v>
      </c>
      <c r="H17" s="3">
        <v>350</v>
      </c>
      <c r="I17" s="3">
        <v>29.166666666666668</v>
      </c>
      <c r="J17" s="3" t="s">
        <v>19</v>
      </c>
      <c r="K17" s="2"/>
      <c r="L17" s="2">
        <v>257</v>
      </c>
      <c r="M17" s="2">
        <v>592</v>
      </c>
      <c r="O17" s="23"/>
      <c r="P17" s="2"/>
      <c r="Q17" s="2"/>
      <c r="R17" s="20" t="s">
        <v>20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2"/>
      <c r="AF17" s="2"/>
      <c r="AG17" s="2"/>
      <c r="AH17" s="3"/>
      <c r="AI17" s="3"/>
      <c r="AJ17" s="3"/>
      <c r="AK17" s="3"/>
      <c r="AL17" s="3"/>
      <c r="AM17" s="3"/>
      <c r="AN17" s="3"/>
      <c r="AO17" s="2"/>
      <c r="AP17" s="3"/>
      <c r="AQ17" s="2"/>
      <c r="AR17" s="2"/>
      <c r="AS17" s="2"/>
      <c r="AT17" s="3"/>
      <c r="AU17" s="2"/>
      <c r="AV17" s="3"/>
      <c r="AW17" s="2"/>
      <c r="AX17" s="3"/>
      <c r="AY17" s="3"/>
      <c r="AZ17" s="3"/>
      <c r="BA17" s="3"/>
      <c r="BB17" s="3"/>
      <c r="BC17" s="3"/>
      <c r="BD17" s="3"/>
      <c r="BE17" s="3"/>
      <c r="BF17" s="3"/>
      <c r="BG17" s="3" t="str">
        <f t="shared" si="0"/>
        <v/>
      </c>
    </row>
    <row r="18" spans="1:59" x14ac:dyDescent="0.3">
      <c r="A18" s="2">
        <v>350</v>
      </c>
      <c r="B18" s="2">
        <v>1000</v>
      </c>
      <c r="C18" s="2">
        <v>60</v>
      </c>
      <c r="D18" s="2">
        <v>200</v>
      </c>
      <c r="E18" s="2">
        <v>100</v>
      </c>
      <c r="F18" s="2" t="s">
        <v>18</v>
      </c>
      <c r="G18" s="2">
        <v>55</v>
      </c>
      <c r="H18" s="3">
        <v>350</v>
      </c>
      <c r="I18" s="3">
        <v>29.166666666666668</v>
      </c>
      <c r="J18" s="3" t="s">
        <v>19</v>
      </c>
      <c r="K18" s="2"/>
      <c r="L18" s="2">
        <v>263</v>
      </c>
      <c r="M18" s="2">
        <v>611</v>
      </c>
      <c r="O18" s="23"/>
      <c r="P18" s="2"/>
      <c r="Q18" s="2"/>
      <c r="R18" s="20" t="s">
        <v>20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2"/>
      <c r="AF18" s="2"/>
      <c r="AG18" s="2"/>
      <c r="AH18" s="3"/>
      <c r="AI18" s="3"/>
      <c r="AJ18" s="3"/>
      <c r="AK18" s="3"/>
      <c r="AL18" s="3"/>
      <c r="AM18" s="3"/>
      <c r="AN18" s="3"/>
      <c r="AO18" s="2"/>
      <c r="AP18" s="3"/>
      <c r="AQ18" s="2"/>
      <c r="AR18" s="2"/>
      <c r="AS18" s="2"/>
      <c r="AT18" s="3"/>
      <c r="AU18" s="2"/>
      <c r="AV18" s="3"/>
      <c r="AW18" s="2"/>
      <c r="AX18" s="3"/>
      <c r="AY18" s="3"/>
      <c r="AZ18" s="3"/>
      <c r="BA18" s="3"/>
      <c r="BB18" s="3"/>
      <c r="BC18" s="3"/>
      <c r="BD18" s="3"/>
      <c r="BE18" s="3"/>
      <c r="BF18" s="3"/>
      <c r="BG18" s="3" t="str">
        <f t="shared" si="0"/>
        <v/>
      </c>
    </row>
    <row r="19" spans="1:59" x14ac:dyDescent="0.3">
      <c r="A19" s="2">
        <v>100</v>
      </c>
      <c r="B19" s="2">
        <v>400</v>
      </c>
      <c r="C19" s="2">
        <v>50</v>
      </c>
      <c r="D19" s="2">
        <v>50</v>
      </c>
      <c r="E19" s="2">
        <v>80</v>
      </c>
      <c r="F19" s="2"/>
      <c r="G19" s="2"/>
      <c r="H19" s="3">
        <v>250</v>
      </c>
      <c r="I19" s="3">
        <v>100</v>
      </c>
      <c r="J19" s="3" t="s">
        <v>23</v>
      </c>
      <c r="K19" s="2"/>
      <c r="L19" s="2">
        <v>466</v>
      </c>
      <c r="M19" s="2">
        <v>575</v>
      </c>
      <c r="O19" s="23"/>
      <c r="P19" s="2"/>
      <c r="Q19" s="2"/>
      <c r="R19" s="20" t="s">
        <v>20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2"/>
      <c r="AF19" s="2"/>
      <c r="AG19" s="2"/>
      <c r="AH19" s="3"/>
      <c r="AI19" s="3"/>
      <c r="AJ19" s="3"/>
      <c r="AK19" s="3"/>
      <c r="AL19" s="3"/>
      <c r="AM19" s="3"/>
      <c r="AN19" s="3"/>
      <c r="AO19" s="2"/>
      <c r="AP19" s="3"/>
      <c r="AQ19" s="2"/>
      <c r="AR19" s="2"/>
      <c r="AS19" s="2"/>
      <c r="AT19" s="3"/>
      <c r="AU19" s="2"/>
      <c r="AV19" s="3"/>
      <c r="AW19" s="2"/>
      <c r="AX19" s="3"/>
      <c r="AY19" s="3"/>
      <c r="AZ19" s="3"/>
      <c r="BA19" s="3"/>
      <c r="BB19" s="3"/>
      <c r="BC19" s="3"/>
      <c r="BD19" s="3"/>
      <c r="BE19" s="3"/>
      <c r="BF19" s="3"/>
      <c r="BG19" s="3" t="str">
        <f t="shared" si="0"/>
        <v/>
      </c>
    </row>
    <row r="20" spans="1:59" x14ac:dyDescent="0.3">
      <c r="A20" s="2">
        <v>200</v>
      </c>
      <c r="B20" s="2">
        <v>1100</v>
      </c>
      <c r="C20" s="2">
        <v>50</v>
      </c>
      <c r="D20" s="2">
        <v>35</v>
      </c>
      <c r="E20" s="2">
        <v>80</v>
      </c>
      <c r="F20" s="2"/>
      <c r="G20" s="2"/>
      <c r="H20" s="3">
        <v>181.81818181818181</v>
      </c>
      <c r="I20" s="3">
        <v>103.8961038961039</v>
      </c>
      <c r="J20" s="3" t="s">
        <v>23</v>
      </c>
      <c r="K20" s="2"/>
      <c r="L20" s="2">
        <v>525</v>
      </c>
      <c r="M20" s="2">
        <v>667</v>
      </c>
      <c r="O20" s="23"/>
      <c r="P20" s="2"/>
      <c r="Q20" s="2"/>
      <c r="R20" s="20" t="s">
        <v>20</v>
      </c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2"/>
      <c r="AF20" s="2"/>
      <c r="AG20" s="2"/>
      <c r="AH20" s="3"/>
      <c r="AI20" s="3"/>
      <c r="AJ20" s="3"/>
      <c r="AK20" s="3"/>
      <c r="AL20" s="3"/>
      <c r="AM20" s="3"/>
      <c r="AN20" s="3"/>
      <c r="AO20" s="2"/>
      <c r="AP20" s="3"/>
      <c r="AQ20" s="2"/>
      <c r="AR20" s="2"/>
      <c r="AS20" s="2"/>
      <c r="AT20" s="3"/>
      <c r="AU20" s="2"/>
      <c r="AV20" s="3"/>
      <c r="AW20" s="2"/>
      <c r="AX20" s="3"/>
      <c r="AY20" s="3"/>
      <c r="AZ20" s="3"/>
      <c r="BA20" s="3"/>
      <c r="BB20" s="3"/>
      <c r="BC20" s="3"/>
      <c r="BD20" s="3"/>
      <c r="BE20" s="3"/>
      <c r="BF20" s="3"/>
      <c r="BG20" s="3" t="str">
        <f t="shared" si="0"/>
        <v/>
      </c>
    </row>
    <row r="21" spans="1:59" x14ac:dyDescent="0.3">
      <c r="A21" s="2">
        <v>380</v>
      </c>
      <c r="B21" s="2">
        <v>2000</v>
      </c>
      <c r="C21" s="2">
        <v>50</v>
      </c>
      <c r="D21" s="2">
        <v>35</v>
      </c>
      <c r="E21" s="2">
        <v>80</v>
      </c>
      <c r="F21" s="2"/>
      <c r="G21" s="2"/>
      <c r="H21" s="3">
        <v>190</v>
      </c>
      <c r="I21" s="3">
        <v>108.57142857142858</v>
      </c>
      <c r="J21" s="3" t="s">
        <v>23</v>
      </c>
      <c r="K21" s="2"/>
      <c r="L21" s="2">
        <v>535</v>
      </c>
      <c r="M21" s="2">
        <v>664</v>
      </c>
      <c r="O21" s="23"/>
      <c r="P21" s="2"/>
      <c r="Q21" s="2"/>
      <c r="R21" s="20" t="s">
        <v>20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2"/>
      <c r="AF21" s="2"/>
      <c r="AG21" s="2"/>
      <c r="AH21" s="3"/>
      <c r="AI21" s="3"/>
      <c r="AJ21" s="3"/>
      <c r="AK21" s="3"/>
      <c r="AL21" s="3"/>
      <c r="AM21" s="3"/>
      <c r="AN21" s="3"/>
      <c r="AO21" s="2"/>
      <c r="AP21" s="3"/>
      <c r="AQ21" s="2"/>
      <c r="AR21" s="2"/>
      <c r="AS21" s="2"/>
      <c r="AT21" s="3"/>
      <c r="AU21" s="2"/>
      <c r="AV21" s="3"/>
      <c r="AW21" s="2"/>
      <c r="AX21" s="3"/>
      <c r="AY21" s="3"/>
      <c r="AZ21" s="3"/>
      <c r="BA21" s="3"/>
      <c r="BB21" s="3"/>
      <c r="BC21" s="3"/>
      <c r="BD21" s="3"/>
      <c r="BE21" s="3"/>
      <c r="BF21" s="3"/>
      <c r="BG21" s="3" t="str">
        <f t="shared" si="0"/>
        <v/>
      </c>
    </row>
    <row r="22" spans="1:59" x14ac:dyDescent="0.3">
      <c r="A22" s="2">
        <v>570</v>
      </c>
      <c r="B22" s="2">
        <v>3000</v>
      </c>
      <c r="C22" s="2">
        <v>50</v>
      </c>
      <c r="D22" s="2">
        <v>37.5</v>
      </c>
      <c r="E22" s="2">
        <v>200</v>
      </c>
      <c r="F22" s="2"/>
      <c r="G22" s="2"/>
      <c r="H22" s="3">
        <v>190</v>
      </c>
      <c r="I22" s="3">
        <v>101.33333333333333</v>
      </c>
      <c r="J22" s="3" t="s">
        <v>23</v>
      </c>
      <c r="K22" s="2"/>
      <c r="L22" s="2">
        <v>557</v>
      </c>
      <c r="M22" s="2">
        <v>698</v>
      </c>
      <c r="O22" s="23"/>
      <c r="P22" s="2"/>
      <c r="Q22" s="2"/>
      <c r="R22" s="20" t="s">
        <v>20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2"/>
      <c r="AF22" s="2"/>
      <c r="AG22" s="2"/>
      <c r="AH22" s="3"/>
      <c r="AI22" s="3"/>
      <c r="AJ22" s="3"/>
      <c r="AK22" s="3"/>
      <c r="AL22" s="3"/>
      <c r="AM22" s="3"/>
      <c r="AN22" s="3"/>
      <c r="AO22" s="2"/>
      <c r="AP22" s="3"/>
      <c r="AQ22" s="2"/>
      <c r="AR22" s="2"/>
      <c r="AS22" s="2"/>
      <c r="AT22" s="3"/>
      <c r="AU22" s="2"/>
      <c r="AV22" s="3"/>
      <c r="AW22" s="2"/>
      <c r="AX22" s="3"/>
      <c r="AY22" s="3"/>
      <c r="AZ22" s="3"/>
      <c r="BA22" s="3"/>
      <c r="BB22" s="3"/>
      <c r="BC22" s="3"/>
      <c r="BD22" s="3"/>
      <c r="BE22" s="3"/>
      <c r="BF22" s="3"/>
      <c r="BG22" s="3" t="str">
        <f t="shared" si="0"/>
        <v/>
      </c>
    </row>
    <row r="23" spans="1:59" x14ac:dyDescent="0.3">
      <c r="A23" s="2">
        <v>760</v>
      </c>
      <c r="B23" s="2">
        <v>2500</v>
      </c>
      <c r="C23" s="2">
        <v>50</v>
      </c>
      <c r="D23" s="2">
        <v>60</v>
      </c>
      <c r="E23" s="2">
        <v>200</v>
      </c>
      <c r="F23" s="2"/>
      <c r="G23" s="2"/>
      <c r="H23" s="3">
        <v>304</v>
      </c>
      <c r="I23" s="3">
        <v>101.33333333333333</v>
      </c>
      <c r="J23" s="3" t="s">
        <v>23</v>
      </c>
      <c r="K23" s="2"/>
      <c r="L23" s="2">
        <v>563</v>
      </c>
      <c r="M23" s="2">
        <v>705</v>
      </c>
      <c r="O23" s="23"/>
      <c r="P23" s="2"/>
      <c r="Q23" s="2"/>
      <c r="R23" s="20" t="s">
        <v>20</v>
      </c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2"/>
      <c r="AF23" s="2"/>
      <c r="AG23" s="2"/>
      <c r="AH23" s="3"/>
      <c r="AI23" s="3"/>
      <c r="AJ23" s="3"/>
      <c r="AK23" s="3"/>
      <c r="AL23" s="3"/>
      <c r="AM23" s="3"/>
      <c r="AN23" s="3"/>
      <c r="AO23" s="2"/>
      <c r="AP23" s="3"/>
      <c r="AQ23" s="2"/>
      <c r="AR23" s="2"/>
      <c r="AS23" s="2"/>
      <c r="AT23" s="3"/>
      <c r="AU23" s="2"/>
      <c r="AV23" s="3"/>
      <c r="AW23" s="2"/>
      <c r="AX23" s="3"/>
      <c r="AY23" s="3"/>
      <c r="AZ23" s="3"/>
      <c r="BA23" s="3"/>
      <c r="BB23" s="3"/>
      <c r="BC23" s="3"/>
      <c r="BD23" s="3"/>
      <c r="BE23" s="3"/>
      <c r="BF23" s="3"/>
      <c r="BG23" s="3" t="str">
        <f t="shared" si="0"/>
        <v/>
      </c>
    </row>
    <row r="24" spans="1:59" x14ac:dyDescent="0.3">
      <c r="A24" s="2">
        <v>950</v>
      </c>
      <c r="B24" s="2">
        <v>2500</v>
      </c>
      <c r="C24" s="2">
        <v>50</v>
      </c>
      <c r="D24" s="2">
        <v>75</v>
      </c>
      <c r="E24" s="2">
        <v>200</v>
      </c>
      <c r="F24" s="2"/>
      <c r="G24" s="2"/>
      <c r="H24" s="3">
        <v>380</v>
      </c>
      <c r="I24" s="3">
        <v>101.33333333333333</v>
      </c>
      <c r="J24" s="3" t="s">
        <v>23</v>
      </c>
      <c r="K24" s="2"/>
      <c r="L24" s="2">
        <v>560</v>
      </c>
      <c r="M24" s="2">
        <v>712</v>
      </c>
      <c r="O24" s="23"/>
      <c r="P24" s="2"/>
      <c r="Q24" s="2"/>
      <c r="R24" s="20" t="s">
        <v>20</v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2"/>
      <c r="AF24" s="2"/>
      <c r="AG24" s="2"/>
      <c r="AH24" s="3"/>
      <c r="AI24" s="3"/>
      <c r="AJ24" s="3"/>
      <c r="AK24" s="3"/>
      <c r="AL24" s="3"/>
      <c r="AM24" s="3"/>
      <c r="AN24" s="3"/>
      <c r="AO24" s="2"/>
      <c r="AP24" s="3"/>
      <c r="AQ24" s="2"/>
      <c r="AR24" s="2"/>
      <c r="AS24" s="2"/>
      <c r="AT24" s="3"/>
      <c r="AU24" s="2"/>
      <c r="AV24" s="3"/>
      <c r="AW24" s="2"/>
      <c r="AX24" s="3"/>
      <c r="AY24" s="3"/>
      <c r="AZ24" s="3"/>
      <c r="BA24" s="3"/>
      <c r="BB24" s="3"/>
      <c r="BC24" s="3"/>
      <c r="BD24" s="3"/>
      <c r="BE24" s="3"/>
      <c r="BF24" s="3"/>
      <c r="BG24" s="3" t="str">
        <f t="shared" si="0"/>
        <v/>
      </c>
    </row>
    <row r="25" spans="1:59" x14ac:dyDescent="0.3">
      <c r="A25" s="2">
        <v>100</v>
      </c>
      <c r="B25" s="2">
        <v>700</v>
      </c>
      <c r="C25" s="2">
        <v>20</v>
      </c>
      <c r="D25" s="2">
        <v>50</v>
      </c>
      <c r="E25" s="2">
        <v>50</v>
      </c>
      <c r="F25" s="2" t="s">
        <v>24</v>
      </c>
      <c r="G25" s="2">
        <v>30</v>
      </c>
      <c r="H25" s="3">
        <v>142.85714285714286</v>
      </c>
      <c r="I25" s="3">
        <v>142.85714285714286</v>
      </c>
      <c r="J25" s="3" t="s">
        <v>23</v>
      </c>
      <c r="K25" s="2"/>
      <c r="L25" s="2">
        <v>528.34199999999998</v>
      </c>
      <c r="M25" s="2">
        <v>618.18200000000002</v>
      </c>
      <c r="O25" s="23"/>
      <c r="P25" s="2"/>
      <c r="Q25" s="2"/>
      <c r="R25" s="20" t="s">
        <v>20</v>
      </c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2"/>
      <c r="AF25" s="2"/>
      <c r="AG25" s="2"/>
      <c r="AH25" s="3"/>
      <c r="AI25" s="3"/>
      <c r="AJ25" s="3"/>
      <c r="AK25" s="3"/>
      <c r="AL25" s="3"/>
      <c r="AM25" s="3"/>
      <c r="AN25" s="3"/>
      <c r="AO25" s="2"/>
      <c r="AP25" s="3"/>
      <c r="AQ25" s="2"/>
      <c r="AR25" s="2"/>
      <c r="AS25" s="2"/>
      <c r="AT25" s="3"/>
      <c r="AU25" s="2"/>
      <c r="AV25" s="3"/>
      <c r="AW25" s="2"/>
      <c r="AX25" s="3"/>
      <c r="AY25" s="3"/>
      <c r="AZ25" s="3"/>
      <c r="BA25" s="3"/>
      <c r="BB25" s="3"/>
      <c r="BC25" s="3"/>
      <c r="BD25" s="3"/>
      <c r="BE25" s="3"/>
      <c r="BF25" s="3"/>
      <c r="BG25" s="3" t="str">
        <f t="shared" si="0"/>
        <v/>
      </c>
    </row>
    <row r="26" spans="1:59" x14ac:dyDescent="0.3">
      <c r="A26" s="2">
        <v>100</v>
      </c>
      <c r="B26" s="2">
        <v>700</v>
      </c>
      <c r="C26" s="2">
        <v>20</v>
      </c>
      <c r="D26" s="2">
        <v>50</v>
      </c>
      <c r="E26" s="2">
        <v>50</v>
      </c>
      <c r="F26" s="2" t="s">
        <v>24</v>
      </c>
      <c r="G26" s="2">
        <v>30</v>
      </c>
      <c r="H26" s="3">
        <v>142.85714285714286</v>
      </c>
      <c r="I26" s="3">
        <v>142.85714285714286</v>
      </c>
      <c r="J26" s="3" t="s">
        <v>23</v>
      </c>
      <c r="K26" s="2"/>
      <c r="L26" s="2">
        <v>482.35300000000001</v>
      </c>
      <c r="M26" s="2">
        <v>556.15</v>
      </c>
      <c r="O26" s="23"/>
      <c r="P26" s="2"/>
      <c r="Q26" s="2"/>
      <c r="R26" s="20" t="s">
        <v>20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2"/>
      <c r="AF26" s="2"/>
      <c r="AG26" s="2"/>
      <c r="AH26" s="3"/>
      <c r="AI26" s="3"/>
      <c r="AJ26" s="3"/>
      <c r="AK26" s="3"/>
      <c r="AL26" s="3"/>
      <c r="AM26" s="3"/>
      <c r="AN26" s="3"/>
      <c r="AO26" s="2"/>
      <c r="AP26" s="3"/>
      <c r="AQ26" s="2"/>
      <c r="AR26" s="2"/>
      <c r="AS26" s="2"/>
      <c r="AT26" s="3"/>
      <c r="AU26" s="2"/>
      <c r="AV26" s="3"/>
      <c r="AW26" s="2"/>
      <c r="AX26" s="3"/>
      <c r="AY26" s="3"/>
      <c r="AZ26" s="3"/>
      <c r="BA26" s="3"/>
      <c r="BB26" s="3"/>
      <c r="BC26" s="3"/>
      <c r="BD26" s="3"/>
      <c r="BE26" s="3"/>
      <c r="BF26" s="3"/>
      <c r="BG26" s="3" t="str">
        <f t="shared" si="0"/>
        <v/>
      </c>
    </row>
    <row r="27" spans="1:59" x14ac:dyDescent="0.3">
      <c r="A27" s="2">
        <v>100</v>
      </c>
      <c r="B27" s="2">
        <v>700</v>
      </c>
      <c r="C27" s="2">
        <v>20</v>
      </c>
      <c r="D27" s="2">
        <v>70</v>
      </c>
      <c r="E27" s="2">
        <v>50</v>
      </c>
      <c r="F27" s="2" t="s">
        <v>24</v>
      </c>
      <c r="G27" s="2">
        <v>30</v>
      </c>
      <c r="H27" s="3">
        <v>142.85714285714286</v>
      </c>
      <c r="I27" s="3">
        <v>102.04081632653062</v>
      </c>
      <c r="J27" s="3" t="s">
        <v>23</v>
      </c>
      <c r="K27" s="2"/>
      <c r="L27" s="2">
        <v>541.17600000000004</v>
      </c>
      <c r="M27" s="2">
        <v>645.98900000000003</v>
      </c>
      <c r="O27" s="23"/>
      <c r="P27" s="2"/>
      <c r="Q27" s="2"/>
      <c r="R27" s="20" t="s">
        <v>20</v>
      </c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2"/>
      <c r="AF27" s="2"/>
      <c r="AG27" s="2"/>
      <c r="AH27" s="3"/>
      <c r="AI27" s="3"/>
      <c r="AJ27" s="3"/>
      <c r="AK27" s="3"/>
      <c r="AL27" s="3"/>
      <c r="AM27" s="3"/>
      <c r="AN27" s="3"/>
      <c r="AO27" s="2"/>
      <c r="AP27" s="3"/>
      <c r="AQ27" s="2"/>
      <c r="AR27" s="2"/>
      <c r="AS27" s="2"/>
      <c r="AT27" s="3"/>
      <c r="AU27" s="2"/>
      <c r="AV27" s="3"/>
      <c r="AW27" s="2"/>
      <c r="AX27" s="3"/>
      <c r="AY27" s="3"/>
      <c r="AZ27" s="3"/>
      <c r="BA27" s="3"/>
      <c r="BB27" s="3"/>
      <c r="BC27" s="3"/>
      <c r="BD27" s="3"/>
      <c r="BE27" s="3"/>
      <c r="BF27" s="3"/>
      <c r="BG27" s="3" t="str">
        <f t="shared" si="0"/>
        <v/>
      </c>
    </row>
    <row r="28" spans="1:59" x14ac:dyDescent="0.3">
      <c r="A28" s="2">
        <v>100</v>
      </c>
      <c r="B28" s="2">
        <v>700</v>
      </c>
      <c r="C28" s="2">
        <v>20</v>
      </c>
      <c r="D28" s="2">
        <v>70</v>
      </c>
      <c r="E28" s="2">
        <v>50</v>
      </c>
      <c r="F28" s="2" t="s">
        <v>24</v>
      </c>
      <c r="G28" s="2">
        <v>30</v>
      </c>
      <c r="H28" s="3">
        <v>142.85714285714286</v>
      </c>
      <c r="I28" s="3">
        <v>102.04081632653062</v>
      </c>
      <c r="J28" s="3" t="s">
        <v>23</v>
      </c>
      <c r="K28" s="2"/>
      <c r="L28" s="2">
        <v>474.86599999999999</v>
      </c>
      <c r="M28" s="2">
        <v>556.15</v>
      </c>
      <c r="O28" s="23"/>
      <c r="P28" s="2"/>
      <c r="Q28" s="2"/>
      <c r="R28" s="20" t="s">
        <v>20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2"/>
      <c r="AF28" s="2"/>
      <c r="AG28" s="2"/>
      <c r="AH28" s="3"/>
      <c r="AI28" s="3"/>
      <c r="AJ28" s="3"/>
      <c r="AK28" s="3"/>
      <c r="AL28" s="3"/>
      <c r="AM28" s="3"/>
      <c r="AN28" s="3"/>
      <c r="AO28" s="2"/>
      <c r="AP28" s="3"/>
      <c r="AQ28" s="2"/>
      <c r="AR28" s="2"/>
      <c r="AS28" s="2"/>
      <c r="AT28" s="3"/>
      <c r="AU28" s="2"/>
      <c r="AV28" s="3"/>
      <c r="AW28" s="2"/>
      <c r="AX28" s="3"/>
      <c r="AY28" s="3"/>
      <c r="AZ28" s="3"/>
      <c r="BA28" s="3"/>
      <c r="BB28" s="3"/>
      <c r="BC28" s="3"/>
      <c r="BD28" s="3"/>
      <c r="BE28" s="3"/>
      <c r="BF28" s="3"/>
      <c r="BG28" s="3" t="str">
        <f t="shared" si="0"/>
        <v/>
      </c>
    </row>
    <row r="29" spans="1:59" x14ac:dyDescent="0.3">
      <c r="A29" s="2">
        <v>150</v>
      </c>
      <c r="B29" s="2">
        <v>700</v>
      </c>
      <c r="C29" s="2">
        <v>20</v>
      </c>
      <c r="D29" s="2">
        <v>50</v>
      </c>
      <c r="E29" s="2">
        <v>50</v>
      </c>
      <c r="F29" s="2" t="s">
        <v>24</v>
      </c>
      <c r="G29" s="2">
        <v>30</v>
      </c>
      <c r="H29" s="3">
        <v>214.28571428571428</v>
      </c>
      <c r="I29" s="3">
        <v>214.28571428571428</v>
      </c>
      <c r="J29" s="3" t="s">
        <v>23</v>
      </c>
      <c r="K29" s="2"/>
      <c r="L29" s="2">
        <v>510.16</v>
      </c>
      <c r="M29" s="2">
        <v>647.32600000000002</v>
      </c>
      <c r="O29" s="23"/>
      <c r="P29" s="2"/>
      <c r="Q29" s="2"/>
      <c r="R29" s="20" t="s">
        <v>20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2"/>
      <c r="AF29" s="2"/>
      <c r="AG29" s="2"/>
      <c r="AH29" s="3"/>
      <c r="AI29" s="3"/>
      <c r="AJ29" s="3"/>
      <c r="AK29" s="3"/>
      <c r="AL29" s="3"/>
      <c r="AM29" s="3"/>
      <c r="AN29" s="3"/>
      <c r="AO29" s="2"/>
      <c r="AP29" s="3"/>
      <c r="AQ29" s="2"/>
      <c r="AR29" s="2"/>
      <c r="AS29" s="2"/>
      <c r="AT29" s="3"/>
      <c r="AU29" s="2"/>
      <c r="AV29" s="3"/>
      <c r="AW29" s="2"/>
      <c r="AX29" s="3"/>
      <c r="AY29" s="3"/>
      <c r="AZ29" s="3"/>
      <c r="BA29" s="3"/>
      <c r="BB29" s="3"/>
      <c r="BC29" s="3"/>
      <c r="BD29" s="3"/>
      <c r="BE29" s="3"/>
      <c r="BF29" s="3"/>
      <c r="BG29" s="3" t="str">
        <f t="shared" si="0"/>
        <v/>
      </c>
    </row>
    <row r="30" spans="1:59" x14ac:dyDescent="0.3">
      <c r="A30" s="2">
        <v>150</v>
      </c>
      <c r="B30" s="2">
        <v>700</v>
      </c>
      <c r="C30" s="2">
        <v>20</v>
      </c>
      <c r="D30" s="2">
        <v>50</v>
      </c>
      <c r="E30" s="2">
        <v>50</v>
      </c>
      <c r="F30" s="2" t="s">
        <v>24</v>
      </c>
      <c r="G30" s="2">
        <v>30</v>
      </c>
      <c r="H30" s="3">
        <v>214.28571428571428</v>
      </c>
      <c r="I30" s="3">
        <v>214.28571428571428</v>
      </c>
      <c r="J30" s="3" t="s">
        <v>23</v>
      </c>
      <c r="K30" s="2"/>
      <c r="L30" s="2">
        <v>432.08600000000001</v>
      </c>
      <c r="M30" s="2">
        <v>548.66300000000001</v>
      </c>
      <c r="O30" s="23"/>
      <c r="P30" s="2"/>
      <c r="Q30" s="2"/>
      <c r="R30" s="20" t="s">
        <v>20</v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2"/>
      <c r="AF30" s="2"/>
      <c r="AG30" s="2"/>
      <c r="AH30" s="3"/>
      <c r="AI30" s="3"/>
      <c r="AJ30" s="3"/>
      <c r="AK30" s="3"/>
      <c r="AL30" s="3"/>
      <c r="AM30" s="3"/>
      <c r="AN30" s="3"/>
      <c r="AO30" s="2"/>
      <c r="AP30" s="3"/>
      <c r="AQ30" s="2"/>
      <c r="AR30" s="2"/>
      <c r="AS30" s="2"/>
      <c r="AT30" s="3"/>
      <c r="AU30" s="2"/>
      <c r="AV30" s="3"/>
      <c r="AW30" s="2"/>
      <c r="AX30" s="3"/>
      <c r="AY30" s="3"/>
      <c r="AZ30" s="3"/>
      <c r="BA30" s="3"/>
      <c r="BB30" s="3"/>
      <c r="BC30" s="3"/>
      <c r="BD30" s="3"/>
      <c r="BE30" s="3"/>
      <c r="BF30" s="3"/>
      <c r="BG30" s="3" t="str">
        <f t="shared" si="0"/>
        <v/>
      </c>
    </row>
    <row r="31" spans="1:59" x14ac:dyDescent="0.3">
      <c r="A31" s="2">
        <v>150</v>
      </c>
      <c r="B31" s="2">
        <v>700</v>
      </c>
      <c r="C31" s="2">
        <v>20</v>
      </c>
      <c r="D31" s="2">
        <v>70</v>
      </c>
      <c r="E31" s="2">
        <v>50</v>
      </c>
      <c r="F31" s="2" t="s">
        <v>24</v>
      </c>
      <c r="G31" s="2">
        <v>30</v>
      </c>
      <c r="H31" s="3">
        <v>214.28571428571428</v>
      </c>
      <c r="I31" s="3">
        <v>153.0612244897959</v>
      </c>
      <c r="J31" s="3" t="s">
        <v>23</v>
      </c>
      <c r="K31" s="2"/>
      <c r="L31" s="2">
        <v>525.13400000000001</v>
      </c>
      <c r="M31" s="2">
        <v>649.19799999999998</v>
      </c>
      <c r="O31" s="23"/>
      <c r="P31" s="2"/>
      <c r="Q31" s="2"/>
      <c r="R31" s="20" t="s">
        <v>20</v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2"/>
      <c r="AF31" s="2"/>
      <c r="AG31" s="2"/>
      <c r="AH31" s="3"/>
      <c r="AI31" s="3"/>
      <c r="AJ31" s="3"/>
      <c r="AK31" s="3"/>
      <c r="AL31" s="3"/>
      <c r="AM31" s="3"/>
      <c r="AN31" s="3"/>
      <c r="AO31" s="2"/>
      <c r="AP31" s="3"/>
      <c r="AQ31" s="2"/>
      <c r="AR31" s="2"/>
      <c r="AS31" s="2"/>
      <c r="AT31" s="3"/>
      <c r="AU31" s="2"/>
      <c r="AV31" s="3"/>
      <c r="AW31" s="2"/>
      <c r="AX31" s="3"/>
      <c r="AY31" s="3"/>
      <c r="AZ31" s="3"/>
      <c r="BA31" s="3"/>
      <c r="BB31" s="3"/>
      <c r="BC31" s="3"/>
      <c r="BD31" s="3"/>
      <c r="BE31" s="3"/>
      <c r="BF31" s="3"/>
      <c r="BG31" s="3" t="str">
        <f t="shared" si="0"/>
        <v/>
      </c>
    </row>
    <row r="32" spans="1:59" x14ac:dyDescent="0.3">
      <c r="A32" s="2">
        <v>150</v>
      </c>
      <c r="B32" s="2">
        <v>700</v>
      </c>
      <c r="C32" s="2">
        <v>20</v>
      </c>
      <c r="D32" s="2">
        <v>70</v>
      </c>
      <c r="E32" s="2">
        <v>50</v>
      </c>
      <c r="F32" s="2" t="s">
        <v>24</v>
      </c>
      <c r="G32" s="2">
        <v>30</v>
      </c>
      <c r="H32" s="3">
        <v>214.28571428571428</v>
      </c>
      <c r="I32" s="3">
        <v>153.0612244897959</v>
      </c>
      <c r="J32" s="3" t="s">
        <v>23</v>
      </c>
      <c r="K32" s="2"/>
      <c r="L32" s="2">
        <v>489.84</v>
      </c>
      <c r="M32" s="2">
        <v>572.19299999999998</v>
      </c>
      <c r="O32" s="23"/>
      <c r="P32" s="2"/>
      <c r="Q32" s="2"/>
      <c r="R32" s="20" t="s">
        <v>20</v>
      </c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2"/>
      <c r="AF32" s="2"/>
      <c r="AG32" s="2"/>
      <c r="AH32" s="3"/>
      <c r="AI32" s="3"/>
      <c r="AJ32" s="3"/>
      <c r="AK32" s="3"/>
      <c r="AL32" s="3"/>
      <c r="AM32" s="3"/>
      <c r="AN32" s="3"/>
      <c r="AO32" s="2"/>
      <c r="AP32" s="3"/>
      <c r="AQ32" s="2"/>
      <c r="AR32" s="2"/>
      <c r="AS32" s="2"/>
      <c r="AT32" s="3"/>
      <c r="AU32" s="2"/>
      <c r="AV32" s="3"/>
      <c r="AW32" s="2"/>
      <c r="AX32" s="3"/>
      <c r="AY32" s="3"/>
      <c r="AZ32" s="3"/>
      <c r="BA32" s="3"/>
      <c r="BB32" s="3"/>
      <c r="BC32" s="3"/>
      <c r="BD32" s="3"/>
      <c r="BE32" s="3"/>
      <c r="BF32" s="3"/>
      <c r="BG32" s="3" t="str">
        <f t="shared" si="0"/>
        <v/>
      </c>
    </row>
    <row r="33" spans="1:59" ht="15" customHeight="1" x14ac:dyDescent="0.3">
      <c r="A33" s="2">
        <v>200</v>
      </c>
      <c r="B33" s="2">
        <v>750</v>
      </c>
      <c r="C33" s="2">
        <v>50</v>
      </c>
      <c r="D33" s="2">
        <v>110</v>
      </c>
      <c r="E33" s="2">
        <v>65</v>
      </c>
      <c r="F33" s="2" t="s">
        <v>24</v>
      </c>
      <c r="G33" s="2">
        <v>67</v>
      </c>
      <c r="H33" s="3">
        <v>266.66666666666669</v>
      </c>
      <c r="I33" s="3">
        <v>48.484848484848484</v>
      </c>
      <c r="J33" s="3" t="s">
        <v>19</v>
      </c>
      <c r="K33" s="2"/>
      <c r="L33" s="3">
        <v>537.84900000000005</v>
      </c>
      <c r="M33" s="3">
        <v>639.19299999999998</v>
      </c>
      <c r="O33" s="24"/>
      <c r="P33" s="3"/>
      <c r="Q33" s="3"/>
      <c r="R33" s="20" t="s">
        <v>20</v>
      </c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2"/>
      <c r="AF33" s="2"/>
      <c r="AG33" s="2"/>
      <c r="AH33" s="3"/>
      <c r="AI33" s="3"/>
      <c r="AJ33" s="3"/>
      <c r="AK33" s="3"/>
      <c r="AL33" s="3"/>
      <c r="AM33" s="3"/>
      <c r="AN33" s="3"/>
      <c r="AO33" s="2"/>
      <c r="AP33" s="3"/>
      <c r="AQ33" s="2"/>
      <c r="AR33" s="2"/>
      <c r="AS33" s="3"/>
      <c r="AT33" s="3"/>
      <c r="AU33" s="3"/>
      <c r="AV33" s="3"/>
      <c r="AW33" s="6"/>
      <c r="AX33" s="3"/>
      <c r="AY33" s="3"/>
      <c r="AZ33" s="3"/>
      <c r="BA33" s="3"/>
      <c r="BB33" s="3"/>
      <c r="BC33" s="3"/>
      <c r="BD33" s="3"/>
      <c r="BE33" s="3"/>
      <c r="BF33" s="3"/>
      <c r="BG33" s="3" t="str">
        <f t="shared" si="0"/>
        <v/>
      </c>
    </row>
    <row r="34" spans="1:59" x14ac:dyDescent="0.3">
      <c r="A34" s="2">
        <v>200</v>
      </c>
      <c r="B34" s="2">
        <v>750</v>
      </c>
      <c r="C34" s="2">
        <v>50</v>
      </c>
      <c r="D34" s="2">
        <v>110</v>
      </c>
      <c r="E34" s="2">
        <v>65</v>
      </c>
      <c r="F34" s="2" t="s">
        <v>24</v>
      </c>
      <c r="G34" s="2">
        <v>67</v>
      </c>
      <c r="H34" s="3">
        <v>266.66666666666669</v>
      </c>
      <c r="I34" s="3">
        <v>48.484848484848484</v>
      </c>
      <c r="J34" s="3" t="s">
        <v>19</v>
      </c>
      <c r="K34" s="2"/>
      <c r="L34" s="3">
        <v>481.38600000000002</v>
      </c>
      <c r="M34" s="3">
        <v>628.33500000000004</v>
      </c>
      <c r="O34" s="24"/>
      <c r="P34" s="3"/>
      <c r="Q34" s="3"/>
      <c r="R34" s="20" t="s">
        <v>20</v>
      </c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2"/>
      <c r="AF34" s="2"/>
      <c r="AG34" s="2"/>
      <c r="AH34" s="3"/>
      <c r="AI34" s="3"/>
      <c r="AJ34" s="3"/>
      <c r="AK34" s="3"/>
      <c r="AL34" s="3"/>
      <c r="AM34" s="3"/>
      <c r="AN34" s="3"/>
      <c r="AO34" s="2"/>
      <c r="AP34" s="3"/>
      <c r="AQ34" s="2"/>
      <c r="AR34" s="2"/>
      <c r="AS34" s="3"/>
      <c r="AT34" s="3"/>
      <c r="AU34" s="3"/>
      <c r="AV34" s="3"/>
      <c r="AW34" s="6"/>
      <c r="AX34" s="3"/>
      <c r="AY34" s="3"/>
      <c r="AZ34" s="3"/>
      <c r="BA34" s="3"/>
      <c r="BB34" s="3"/>
      <c r="BC34" s="3"/>
      <c r="BD34" s="3"/>
      <c r="BE34" s="3"/>
      <c r="BF34" s="3"/>
      <c r="BG34" s="3" t="str">
        <f t="shared" si="0"/>
        <v/>
      </c>
    </row>
    <row r="35" spans="1:59" x14ac:dyDescent="0.3">
      <c r="A35" s="2">
        <v>200</v>
      </c>
      <c r="B35" s="2">
        <v>750</v>
      </c>
      <c r="C35" s="2">
        <v>50</v>
      </c>
      <c r="D35" s="2">
        <v>110</v>
      </c>
      <c r="E35" s="2">
        <v>65</v>
      </c>
      <c r="F35" s="2" t="s">
        <v>24</v>
      </c>
      <c r="G35" s="2">
        <v>67</v>
      </c>
      <c r="H35" s="3">
        <v>266.66666666666669</v>
      </c>
      <c r="I35" s="3">
        <v>48.484848484848484</v>
      </c>
      <c r="J35" s="3" t="s">
        <v>19</v>
      </c>
      <c r="K35" s="2"/>
      <c r="L35" s="3">
        <v>445.19099999999997</v>
      </c>
      <c r="M35" s="3">
        <v>628.33500000000004</v>
      </c>
      <c r="O35" s="24"/>
      <c r="P35" s="3"/>
      <c r="Q35" s="3"/>
      <c r="R35" s="20" t="s">
        <v>20</v>
      </c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2"/>
      <c r="AF35" s="2"/>
      <c r="AG35" s="2"/>
      <c r="AH35" s="3"/>
      <c r="AI35" s="3"/>
      <c r="AJ35" s="3"/>
      <c r="AK35" s="3"/>
      <c r="AL35" s="3"/>
      <c r="AM35" s="3"/>
      <c r="AN35" s="3"/>
      <c r="AO35" s="2"/>
      <c r="AP35" s="3"/>
      <c r="AQ35" s="2"/>
      <c r="AR35" s="2"/>
      <c r="AS35" s="3"/>
      <c r="AT35" s="3"/>
      <c r="AU35" s="3"/>
      <c r="AV35" s="3"/>
      <c r="AW35" s="6"/>
      <c r="AX35" s="3"/>
      <c r="AY35" s="3"/>
      <c r="AZ35" s="3"/>
      <c r="BA35" s="3"/>
      <c r="BB35" s="3"/>
      <c r="BC35" s="3"/>
      <c r="BD35" s="3"/>
      <c r="BE35" s="3"/>
      <c r="BF35" s="3"/>
      <c r="BG35" s="3" t="str">
        <f t="shared" si="0"/>
        <v/>
      </c>
    </row>
    <row r="36" spans="1:59" x14ac:dyDescent="0.3">
      <c r="A36" s="2">
        <v>200</v>
      </c>
      <c r="B36" s="2">
        <v>750</v>
      </c>
      <c r="C36" s="2">
        <v>50</v>
      </c>
      <c r="D36" s="2">
        <v>110</v>
      </c>
      <c r="E36" s="2">
        <v>65</v>
      </c>
      <c r="F36" s="2" t="s">
        <v>24</v>
      </c>
      <c r="G36" s="2">
        <v>67</v>
      </c>
      <c r="H36" s="3">
        <v>266.66666666666669</v>
      </c>
      <c r="I36" s="3">
        <v>48.484848484848484</v>
      </c>
      <c r="J36" s="3" t="s">
        <v>19</v>
      </c>
      <c r="K36" s="2"/>
      <c r="L36" s="3">
        <v>413.34</v>
      </c>
      <c r="M36" s="3">
        <v>618.20100000000002</v>
      </c>
      <c r="O36" s="24"/>
      <c r="P36" s="3"/>
      <c r="Q36" s="3"/>
      <c r="R36" s="20" t="s">
        <v>20</v>
      </c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2"/>
      <c r="AF36" s="2"/>
      <c r="AG36" s="2"/>
      <c r="AH36" s="3"/>
      <c r="AI36" s="3"/>
      <c r="AJ36" s="3"/>
      <c r="AK36" s="3"/>
      <c r="AL36" s="3"/>
      <c r="AM36" s="3"/>
      <c r="AN36" s="3"/>
      <c r="AO36" s="2"/>
      <c r="AP36" s="3"/>
      <c r="AQ36" s="2"/>
      <c r="AR36" s="2"/>
      <c r="AS36" s="3"/>
      <c r="AT36" s="3"/>
      <c r="AU36" s="3"/>
      <c r="AV36" s="3"/>
      <c r="AW36" s="6"/>
      <c r="AX36" s="3"/>
      <c r="AY36" s="3"/>
      <c r="AZ36" s="3"/>
      <c r="BA36" s="3"/>
      <c r="BB36" s="3"/>
      <c r="BC36" s="3"/>
      <c r="BD36" s="3"/>
      <c r="BE36" s="3"/>
      <c r="BF36" s="3"/>
      <c r="BG36" s="3" t="str">
        <f t="shared" si="0"/>
        <v/>
      </c>
    </row>
    <row r="37" spans="1:59" x14ac:dyDescent="0.3">
      <c r="A37" s="2">
        <v>200</v>
      </c>
      <c r="B37" s="2">
        <v>750</v>
      </c>
      <c r="C37" s="2">
        <v>50</v>
      </c>
      <c r="D37" s="2">
        <v>110</v>
      </c>
      <c r="E37" s="2">
        <v>65</v>
      </c>
      <c r="F37" s="2" t="s">
        <v>24</v>
      </c>
      <c r="G37" s="2">
        <v>67</v>
      </c>
      <c r="H37" s="3">
        <v>266.66666666666669</v>
      </c>
      <c r="I37" s="3">
        <v>48.484848484848484</v>
      </c>
      <c r="J37" s="3" t="s">
        <v>19</v>
      </c>
      <c r="K37" s="2"/>
      <c r="L37" s="3">
        <v>401.75799999999998</v>
      </c>
      <c r="M37" s="3">
        <v>602.27499999999998</v>
      </c>
      <c r="O37" s="24"/>
      <c r="P37" s="3"/>
      <c r="Q37" s="3"/>
      <c r="R37" s="20" t="s">
        <v>20</v>
      </c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2"/>
      <c r="AF37" s="2"/>
      <c r="AG37" s="2"/>
      <c r="AH37" s="3"/>
      <c r="AI37" s="3"/>
      <c r="AJ37" s="3"/>
      <c r="AK37" s="3"/>
      <c r="AL37" s="3"/>
      <c r="AM37" s="3"/>
      <c r="AN37" s="3"/>
      <c r="AO37" s="2"/>
      <c r="AP37" s="3"/>
      <c r="AQ37" s="2"/>
      <c r="AR37" s="2"/>
      <c r="AS37" s="3"/>
      <c r="AT37" s="3"/>
      <c r="AU37" s="3"/>
      <c r="AV37" s="3"/>
      <c r="AW37" s="6"/>
      <c r="AX37" s="3"/>
      <c r="AY37" s="3"/>
      <c r="AZ37" s="3"/>
      <c r="BA37" s="3"/>
      <c r="BB37" s="3"/>
      <c r="BC37" s="3"/>
      <c r="BD37" s="3"/>
      <c r="BE37" s="3"/>
      <c r="BF37" s="3"/>
      <c r="BG37" s="3" t="str">
        <f t="shared" si="0"/>
        <v/>
      </c>
    </row>
    <row r="38" spans="1:59" x14ac:dyDescent="0.3">
      <c r="A38" s="2">
        <v>200</v>
      </c>
      <c r="B38" s="2">
        <v>750</v>
      </c>
      <c r="C38" s="2">
        <v>50</v>
      </c>
      <c r="D38" s="2">
        <v>110</v>
      </c>
      <c r="E38" s="2">
        <v>65</v>
      </c>
      <c r="F38" s="2" t="s">
        <v>24</v>
      </c>
      <c r="G38" s="2">
        <v>67</v>
      </c>
      <c r="H38" s="3">
        <v>266.66666666666669</v>
      </c>
      <c r="I38" s="3">
        <v>48.484848484848484</v>
      </c>
      <c r="J38" s="3" t="s">
        <v>19</v>
      </c>
      <c r="K38" s="2"/>
      <c r="L38" s="3">
        <v>295.346</v>
      </c>
      <c r="M38" s="3">
        <v>541.46799999999996</v>
      </c>
      <c r="O38" s="24"/>
      <c r="P38" s="3"/>
      <c r="Q38" s="3"/>
      <c r="R38" s="20" t="s">
        <v>20</v>
      </c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2"/>
      <c r="AF38" s="2"/>
      <c r="AG38" s="2"/>
      <c r="AH38" s="3"/>
      <c r="AI38" s="3"/>
      <c r="AJ38" s="3"/>
      <c r="AK38" s="3"/>
      <c r="AL38" s="3"/>
      <c r="AM38" s="3"/>
      <c r="AN38" s="3"/>
      <c r="AO38" s="2"/>
      <c r="AP38" s="3"/>
      <c r="AQ38" s="2"/>
      <c r="AR38" s="2"/>
      <c r="AS38" s="3"/>
      <c r="AT38" s="3"/>
      <c r="AU38" s="3"/>
      <c r="AV38" s="3"/>
      <c r="AW38" s="2"/>
      <c r="AX38" s="3"/>
      <c r="AY38" s="3"/>
      <c r="AZ38" s="3"/>
      <c r="BA38" s="3"/>
      <c r="BB38" s="3"/>
      <c r="BC38" s="3"/>
      <c r="BD38" s="3"/>
      <c r="BE38" s="3"/>
      <c r="BF38" s="3"/>
      <c r="BG38" s="3" t="str">
        <f t="shared" si="0"/>
        <v/>
      </c>
    </row>
    <row r="39" spans="1:59" x14ac:dyDescent="0.3">
      <c r="A39" s="2">
        <v>200</v>
      </c>
      <c r="B39" s="2">
        <v>750</v>
      </c>
      <c r="C39" s="2">
        <v>50</v>
      </c>
      <c r="D39" s="2">
        <v>110</v>
      </c>
      <c r="E39" s="2">
        <v>65</v>
      </c>
      <c r="F39" s="2" t="s">
        <v>24</v>
      </c>
      <c r="G39" s="2">
        <v>67</v>
      </c>
      <c r="H39" s="3">
        <v>266.66666666666669</v>
      </c>
      <c r="I39" s="3">
        <v>48.484848484848484</v>
      </c>
      <c r="J39" s="3" t="s">
        <v>19</v>
      </c>
      <c r="K39" s="2"/>
      <c r="L39" s="3">
        <v>477.02600000000001</v>
      </c>
      <c r="M39" s="3">
        <v>497.97899999999998</v>
      </c>
      <c r="O39" s="24"/>
      <c r="P39" s="3"/>
      <c r="Q39" s="3"/>
      <c r="R39" s="20" t="s">
        <v>20</v>
      </c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2"/>
      <c r="AF39" s="2"/>
      <c r="AG39" s="2"/>
      <c r="AH39" s="3"/>
      <c r="AI39" s="3"/>
      <c r="AJ39" s="3"/>
      <c r="AK39" s="3"/>
      <c r="AL39" s="3"/>
      <c r="AM39" s="3"/>
      <c r="AN39" s="3"/>
      <c r="AO39" s="2"/>
      <c r="AP39" s="3"/>
      <c r="AQ39" s="2"/>
      <c r="AR39" s="2"/>
      <c r="AS39" s="3"/>
      <c r="AT39" s="3"/>
      <c r="AU39" s="3"/>
      <c r="AV39" s="3"/>
      <c r="AW39" s="6"/>
      <c r="AX39" s="3"/>
      <c r="AY39" s="3"/>
      <c r="AZ39" s="3"/>
      <c r="BA39" s="3"/>
      <c r="BB39" s="3"/>
      <c r="BC39" s="3"/>
      <c r="BD39" s="3"/>
      <c r="BE39" s="3"/>
      <c r="BF39" s="3"/>
      <c r="BG39" s="3" t="str">
        <f t="shared" si="0"/>
        <v/>
      </c>
    </row>
    <row r="40" spans="1:59" x14ac:dyDescent="0.3">
      <c r="A40" s="2">
        <v>200</v>
      </c>
      <c r="B40" s="2">
        <v>750</v>
      </c>
      <c r="C40" s="2">
        <v>50</v>
      </c>
      <c r="D40" s="2">
        <v>110</v>
      </c>
      <c r="E40" s="2">
        <v>65</v>
      </c>
      <c r="F40" s="2" t="s">
        <v>24</v>
      </c>
      <c r="G40" s="2">
        <v>67</v>
      </c>
      <c r="H40" s="3">
        <v>266.66666666666669</v>
      </c>
      <c r="I40" s="3">
        <v>48.484848484848484</v>
      </c>
      <c r="J40" s="3" t="s">
        <v>19</v>
      </c>
      <c r="K40" s="2"/>
      <c r="L40" s="3">
        <v>454.58600000000001</v>
      </c>
      <c r="M40" s="3">
        <v>566.56799999999998</v>
      </c>
      <c r="O40" s="24"/>
      <c r="P40" s="3"/>
      <c r="Q40" s="3"/>
      <c r="R40" s="20" t="s">
        <v>20</v>
      </c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2"/>
      <c r="AF40" s="2"/>
      <c r="AG40" s="2"/>
      <c r="AH40" s="3"/>
      <c r="AI40" s="3"/>
      <c r="AJ40" s="3"/>
      <c r="AK40" s="3"/>
      <c r="AL40" s="3"/>
      <c r="AM40" s="3"/>
      <c r="AN40" s="3"/>
      <c r="AO40" s="2"/>
      <c r="AP40" s="3"/>
      <c r="AQ40" s="2"/>
      <c r="AR40" s="2"/>
      <c r="AS40" s="3"/>
      <c r="AT40" s="3"/>
      <c r="AU40" s="3"/>
      <c r="AV40" s="3"/>
      <c r="AW40" s="6"/>
      <c r="AX40" s="3"/>
      <c r="AY40" s="3"/>
      <c r="AZ40" s="3"/>
      <c r="BA40" s="3"/>
      <c r="BB40" s="3"/>
      <c r="BC40" s="3"/>
      <c r="BD40" s="3"/>
      <c r="BE40" s="3"/>
      <c r="BF40" s="3"/>
      <c r="BG40" s="3" t="str">
        <f t="shared" si="0"/>
        <v/>
      </c>
    </row>
    <row r="41" spans="1:59" x14ac:dyDescent="0.3">
      <c r="A41" s="2">
        <v>200</v>
      </c>
      <c r="B41" s="2">
        <v>750</v>
      </c>
      <c r="C41" s="2">
        <v>50</v>
      </c>
      <c r="D41" s="2">
        <v>110</v>
      </c>
      <c r="E41" s="2">
        <v>65</v>
      </c>
      <c r="F41" s="2" t="s">
        <v>24</v>
      </c>
      <c r="G41" s="2">
        <v>67</v>
      </c>
      <c r="H41" s="3">
        <v>266.66666666666669</v>
      </c>
      <c r="I41" s="3">
        <v>48.484848484848484</v>
      </c>
      <c r="J41" s="3" t="s">
        <v>19</v>
      </c>
      <c r="K41" s="2"/>
      <c r="L41" s="3">
        <v>427.80200000000002</v>
      </c>
      <c r="M41" s="3">
        <v>534.73599999999999</v>
      </c>
      <c r="O41" s="24"/>
      <c r="P41" s="3"/>
      <c r="Q41" s="3"/>
      <c r="R41" s="20" t="s">
        <v>20</v>
      </c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2"/>
      <c r="AF41" s="2"/>
      <c r="AG41" s="2"/>
      <c r="AH41" s="3"/>
      <c r="AI41" s="3"/>
      <c r="AJ41" s="3"/>
      <c r="AK41" s="3"/>
      <c r="AL41" s="3"/>
      <c r="AM41" s="3"/>
      <c r="AN41" s="3"/>
      <c r="AO41" s="2"/>
      <c r="AP41" s="3"/>
      <c r="AQ41" s="2"/>
      <c r="AR41" s="2"/>
      <c r="AS41" s="3"/>
      <c r="AT41" s="3"/>
      <c r="AU41" s="3"/>
      <c r="AV41" s="3"/>
      <c r="AW41" s="6"/>
      <c r="AX41" s="3"/>
      <c r="AY41" s="3"/>
      <c r="AZ41" s="3"/>
      <c r="BA41" s="3"/>
      <c r="BB41" s="3"/>
      <c r="BC41" s="3"/>
      <c r="BD41" s="3"/>
      <c r="BE41" s="3"/>
      <c r="BF41" s="3"/>
      <c r="BG41" s="3" t="str">
        <f t="shared" si="0"/>
        <v/>
      </c>
    </row>
    <row r="42" spans="1:59" x14ac:dyDescent="0.3">
      <c r="A42" s="2">
        <v>200</v>
      </c>
      <c r="B42" s="2">
        <v>750</v>
      </c>
      <c r="C42" s="2">
        <v>50</v>
      </c>
      <c r="D42" s="2">
        <v>110</v>
      </c>
      <c r="E42" s="2">
        <v>65</v>
      </c>
      <c r="F42" s="2" t="s">
        <v>24</v>
      </c>
      <c r="G42" s="2">
        <v>67</v>
      </c>
      <c r="H42" s="3">
        <v>266.66666666666669</v>
      </c>
      <c r="I42" s="3">
        <v>48.484848484848484</v>
      </c>
      <c r="J42" s="3" t="s">
        <v>19</v>
      </c>
      <c r="K42" s="2"/>
      <c r="L42" s="3">
        <v>403.19099999999997</v>
      </c>
      <c r="M42" s="3">
        <v>464.65</v>
      </c>
      <c r="O42" s="24"/>
      <c r="P42" s="3"/>
      <c r="Q42" s="3"/>
      <c r="R42" s="20" t="s">
        <v>20</v>
      </c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2"/>
      <c r="AF42" s="2"/>
      <c r="AG42" s="2"/>
      <c r="AH42" s="3"/>
      <c r="AI42" s="3"/>
      <c r="AJ42" s="3"/>
      <c r="AK42" s="3"/>
      <c r="AL42" s="3"/>
      <c r="AM42" s="3"/>
      <c r="AN42" s="3"/>
      <c r="AO42" s="2"/>
      <c r="AP42" s="3"/>
      <c r="AQ42" s="2"/>
      <c r="AR42" s="2"/>
      <c r="AS42" s="3"/>
      <c r="AT42" s="3"/>
      <c r="AU42" s="3"/>
      <c r="AV42" s="3"/>
      <c r="AW42" s="6"/>
      <c r="AX42" s="3"/>
      <c r="AY42" s="3"/>
      <c r="AZ42" s="3"/>
      <c r="BA42" s="3"/>
      <c r="BB42" s="3"/>
      <c r="BC42" s="3"/>
      <c r="BD42" s="3"/>
      <c r="BE42" s="3"/>
      <c r="BF42" s="3"/>
      <c r="BG42" s="3" t="str">
        <f t="shared" si="0"/>
        <v/>
      </c>
    </row>
    <row r="43" spans="1:59" x14ac:dyDescent="0.3">
      <c r="A43" s="2">
        <v>200</v>
      </c>
      <c r="B43" s="2">
        <v>750</v>
      </c>
      <c r="C43" s="2">
        <v>50</v>
      </c>
      <c r="D43" s="2">
        <v>110</v>
      </c>
      <c r="E43" s="2">
        <v>65</v>
      </c>
      <c r="F43" s="2" t="s">
        <v>24</v>
      </c>
      <c r="G43" s="2">
        <v>67</v>
      </c>
      <c r="H43" s="3">
        <v>266.66666666666669</v>
      </c>
      <c r="I43" s="3">
        <v>48.484848484848484</v>
      </c>
      <c r="J43" s="3" t="s">
        <v>19</v>
      </c>
      <c r="K43" s="2"/>
      <c r="L43" s="3">
        <v>364.10399999999998</v>
      </c>
      <c r="M43" s="3">
        <v>429.19600000000003</v>
      </c>
      <c r="O43" s="24"/>
      <c r="P43" s="3"/>
      <c r="Q43" s="3"/>
      <c r="R43" s="20" t="s">
        <v>20</v>
      </c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2"/>
      <c r="AF43" s="2"/>
      <c r="AG43" s="2"/>
      <c r="AH43" s="3"/>
      <c r="AI43" s="3"/>
      <c r="AJ43" s="3"/>
      <c r="AK43" s="3"/>
      <c r="AL43" s="3"/>
      <c r="AM43" s="3"/>
      <c r="AN43" s="3"/>
      <c r="AO43" s="2"/>
      <c r="AP43" s="3"/>
      <c r="AQ43" s="2"/>
      <c r="AR43" s="2"/>
      <c r="AS43" s="3"/>
      <c r="AT43" s="3"/>
      <c r="AU43" s="3"/>
      <c r="AV43" s="3"/>
      <c r="AW43" s="6"/>
      <c r="AX43" s="3"/>
      <c r="AY43" s="3"/>
      <c r="AZ43" s="3"/>
      <c r="BA43" s="3"/>
      <c r="BB43" s="3"/>
      <c r="BC43" s="3"/>
      <c r="BD43" s="3"/>
      <c r="BE43" s="3"/>
      <c r="BF43" s="3"/>
      <c r="BG43" s="3" t="str">
        <f t="shared" si="0"/>
        <v/>
      </c>
    </row>
    <row r="44" spans="1:59" x14ac:dyDescent="0.3">
      <c r="A44" s="2">
        <v>200</v>
      </c>
      <c r="B44" s="2">
        <v>750</v>
      </c>
      <c r="C44" s="2">
        <v>50</v>
      </c>
      <c r="D44" s="2">
        <v>110</v>
      </c>
      <c r="E44" s="2">
        <v>65</v>
      </c>
      <c r="F44" s="2" t="s">
        <v>24</v>
      </c>
      <c r="G44" s="2">
        <v>67</v>
      </c>
      <c r="H44" s="3">
        <v>266.66666666666669</v>
      </c>
      <c r="I44" s="3">
        <v>48.484848484848484</v>
      </c>
      <c r="J44" s="3" t="s">
        <v>19</v>
      </c>
      <c r="K44" s="2"/>
      <c r="L44" s="3">
        <v>290.98899999999998</v>
      </c>
      <c r="M44" s="3">
        <v>502.798</v>
      </c>
      <c r="O44" s="24"/>
      <c r="P44" s="3"/>
      <c r="Q44" s="3"/>
      <c r="R44" s="20" t="s">
        <v>20</v>
      </c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2"/>
      <c r="AF44" s="2"/>
      <c r="AG44" s="2"/>
      <c r="AH44" s="3"/>
      <c r="AI44" s="3"/>
      <c r="AJ44" s="3"/>
      <c r="AK44" s="3"/>
      <c r="AL44" s="3"/>
      <c r="AM44" s="3"/>
      <c r="AN44" s="3"/>
      <c r="AO44" s="2"/>
      <c r="AP44" s="3"/>
      <c r="AQ44" s="2"/>
      <c r="AR44" s="2"/>
      <c r="AS44" s="3"/>
      <c r="AT44" s="3"/>
      <c r="AU44" s="3"/>
      <c r="AV44" s="3"/>
      <c r="AW44" s="6"/>
      <c r="AX44" s="3"/>
      <c r="AY44" s="3"/>
      <c r="AZ44" s="3"/>
      <c r="BA44" s="3"/>
      <c r="BB44" s="3"/>
      <c r="BC44" s="3"/>
      <c r="BD44" s="3"/>
      <c r="BE44" s="3"/>
      <c r="BF44" s="3"/>
      <c r="BG44" s="3" t="str">
        <f t="shared" si="0"/>
        <v/>
      </c>
    </row>
    <row r="45" spans="1:59" x14ac:dyDescent="0.3">
      <c r="A45" s="3">
        <v>100</v>
      </c>
      <c r="B45" s="3">
        <v>100</v>
      </c>
      <c r="C45" s="2">
        <v>30</v>
      </c>
      <c r="D45" s="2">
        <v>120</v>
      </c>
      <c r="E45" s="2">
        <v>200</v>
      </c>
      <c r="F45" s="2" t="s">
        <v>18</v>
      </c>
      <c r="G45" s="2">
        <v>30</v>
      </c>
      <c r="H45" s="3">
        <v>266.66666666666669</v>
      </c>
      <c r="I45" s="3">
        <v>74.074074074074076</v>
      </c>
      <c r="J45" s="3" t="s">
        <v>23</v>
      </c>
      <c r="K45" s="2">
        <v>202.4</v>
      </c>
      <c r="L45" s="3">
        <v>441.5</v>
      </c>
      <c r="M45" s="3">
        <v>570.79999999999995</v>
      </c>
      <c r="O45" s="24"/>
      <c r="P45" s="3"/>
      <c r="Q45" s="3"/>
      <c r="R45" s="20" t="s">
        <v>20</v>
      </c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"/>
      <c r="AG45" s="2"/>
      <c r="AH45" s="3"/>
      <c r="AI45" s="3"/>
      <c r="AJ45" s="3"/>
      <c r="AK45" s="3"/>
      <c r="AL45" s="3"/>
      <c r="AM45" s="3"/>
      <c r="AN45" s="3"/>
      <c r="AO45" s="2"/>
      <c r="AP45" s="3"/>
      <c r="AQ45" s="2"/>
      <c r="AR45" s="2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 t="str">
        <f t="shared" si="0"/>
        <v/>
      </c>
    </row>
    <row r="46" spans="1:59" x14ac:dyDescent="0.3">
      <c r="A46" s="3">
        <v>100</v>
      </c>
      <c r="B46" s="3">
        <v>100</v>
      </c>
      <c r="C46" s="2">
        <v>30</v>
      </c>
      <c r="D46" s="2">
        <v>120</v>
      </c>
      <c r="E46" s="2">
        <v>200</v>
      </c>
      <c r="F46" s="2" t="s">
        <v>18</v>
      </c>
      <c r="G46" s="2">
        <v>30</v>
      </c>
      <c r="H46" s="3">
        <v>1000</v>
      </c>
      <c r="I46" s="3">
        <v>277.77777777777777</v>
      </c>
      <c r="J46" s="3" t="s">
        <v>23</v>
      </c>
      <c r="K46" s="2">
        <v>170.3</v>
      </c>
      <c r="L46" s="3">
        <v>304.39999999999998</v>
      </c>
      <c r="M46" s="3">
        <v>543.79999999999995</v>
      </c>
      <c r="O46" s="24"/>
      <c r="P46" s="3"/>
      <c r="Q46" s="3"/>
      <c r="R46" s="20" t="s">
        <v>20</v>
      </c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6"/>
      <c r="AG46" s="2"/>
      <c r="AH46" s="3"/>
      <c r="AI46" s="3"/>
      <c r="AJ46" s="3"/>
      <c r="AK46" s="3"/>
      <c r="AL46" s="3"/>
      <c r="AM46" s="3"/>
      <c r="AN46" s="3"/>
      <c r="AO46" s="2"/>
      <c r="AP46" s="3"/>
      <c r="AQ46" s="2"/>
      <c r="AR46" s="2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 t="str">
        <f t="shared" si="0"/>
        <v/>
      </c>
    </row>
    <row r="47" spans="1:59" x14ac:dyDescent="0.3">
      <c r="A47" s="3">
        <v>100</v>
      </c>
      <c r="B47" s="3">
        <v>100</v>
      </c>
      <c r="C47" s="2">
        <v>30</v>
      </c>
      <c r="D47" s="2">
        <v>120</v>
      </c>
      <c r="E47" s="2">
        <v>200</v>
      </c>
      <c r="F47" s="2" t="s">
        <v>18</v>
      </c>
      <c r="G47" s="2">
        <v>30</v>
      </c>
      <c r="H47" s="3">
        <v>1000</v>
      </c>
      <c r="I47" s="3">
        <v>277.77777777777777</v>
      </c>
      <c r="J47" s="3" t="s">
        <v>23</v>
      </c>
      <c r="K47" s="2">
        <v>173.5</v>
      </c>
      <c r="L47" s="3">
        <v>306.5</v>
      </c>
      <c r="M47" s="3">
        <v>550.70000000000005</v>
      </c>
      <c r="O47" s="24"/>
      <c r="P47" s="3"/>
      <c r="Q47" s="3"/>
      <c r="R47" s="20" t="s">
        <v>20</v>
      </c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2"/>
      <c r="AP47" s="3"/>
      <c r="AQ47" s="2"/>
      <c r="AR47" s="2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 t="str">
        <f t="shared" si="0"/>
        <v/>
      </c>
    </row>
    <row r="48" spans="1:59" x14ac:dyDescent="0.3">
      <c r="A48" s="3">
        <v>100</v>
      </c>
      <c r="B48" s="3">
        <v>200</v>
      </c>
      <c r="C48" s="2">
        <v>30</v>
      </c>
      <c r="D48" s="2">
        <v>120</v>
      </c>
      <c r="E48" s="2">
        <v>200</v>
      </c>
      <c r="F48" s="2" t="s">
        <v>18</v>
      </c>
      <c r="G48" s="2">
        <v>30</v>
      </c>
      <c r="H48" s="3">
        <v>1000</v>
      </c>
      <c r="I48" s="3">
        <v>277.77777777777777</v>
      </c>
      <c r="J48" s="3" t="s">
        <v>23</v>
      </c>
      <c r="K48" s="2">
        <v>187.2</v>
      </c>
      <c r="L48" s="3">
        <v>275.5</v>
      </c>
      <c r="M48" s="3">
        <v>306.10000000000002</v>
      </c>
      <c r="O48" s="24"/>
      <c r="P48" s="3"/>
      <c r="Q48" s="3"/>
      <c r="R48" s="20" t="s">
        <v>20</v>
      </c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2"/>
      <c r="AP48" s="3"/>
      <c r="AQ48" s="2"/>
      <c r="AR48" s="2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 t="str">
        <f t="shared" si="0"/>
        <v/>
      </c>
    </row>
    <row r="49" spans="1:59" x14ac:dyDescent="0.3">
      <c r="A49" s="3">
        <v>100</v>
      </c>
      <c r="B49" s="3">
        <v>200</v>
      </c>
      <c r="C49" s="2">
        <v>30</v>
      </c>
      <c r="D49" s="2">
        <v>120</v>
      </c>
      <c r="E49" s="2">
        <v>200</v>
      </c>
      <c r="F49" s="2" t="s">
        <v>18</v>
      </c>
      <c r="G49" s="2">
        <v>30</v>
      </c>
      <c r="H49" s="3">
        <v>500</v>
      </c>
      <c r="I49" s="3">
        <v>138.88888888888889</v>
      </c>
      <c r="J49" s="3" t="s">
        <v>23</v>
      </c>
      <c r="K49" s="2">
        <v>163.30000000000001</v>
      </c>
      <c r="L49" s="3">
        <v>196.3</v>
      </c>
      <c r="M49" s="3">
        <v>288.10000000000002</v>
      </c>
      <c r="O49" s="24"/>
      <c r="P49" s="3"/>
      <c r="Q49" s="3"/>
      <c r="R49" s="20" t="s">
        <v>20</v>
      </c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6"/>
      <c r="AG49" s="2"/>
      <c r="AH49" s="3"/>
      <c r="AI49" s="3"/>
      <c r="AJ49" s="3"/>
      <c r="AK49" s="3"/>
      <c r="AL49" s="3"/>
      <c r="AM49" s="3"/>
      <c r="AN49" s="3"/>
      <c r="AO49" s="2"/>
      <c r="AP49" s="3"/>
      <c r="AQ49" s="2"/>
      <c r="AR49" s="2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 t="str">
        <f t="shared" si="0"/>
        <v/>
      </c>
    </row>
    <row r="50" spans="1:59" x14ac:dyDescent="0.3">
      <c r="A50" s="3">
        <v>100</v>
      </c>
      <c r="B50" s="3">
        <v>200</v>
      </c>
      <c r="C50" s="2">
        <v>30</v>
      </c>
      <c r="D50" s="2">
        <v>120</v>
      </c>
      <c r="E50" s="2">
        <v>200</v>
      </c>
      <c r="F50" s="2" t="s">
        <v>18</v>
      </c>
      <c r="G50" s="2">
        <v>30</v>
      </c>
      <c r="H50" s="3">
        <v>500</v>
      </c>
      <c r="I50" s="3">
        <v>138.88888888888889</v>
      </c>
      <c r="J50" s="3" t="s">
        <v>23</v>
      </c>
      <c r="K50" s="2">
        <v>157.5</v>
      </c>
      <c r="L50" s="3">
        <v>193.8</v>
      </c>
      <c r="M50" s="3">
        <v>275.39999999999998</v>
      </c>
      <c r="O50" s="24"/>
      <c r="P50" s="3"/>
      <c r="Q50" s="3"/>
      <c r="R50" s="20" t="s">
        <v>20</v>
      </c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2"/>
      <c r="AP50" s="3"/>
      <c r="AQ50" s="2"/>
      <c r="AR50" s="2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 t="str">
        <f t="shared" si="0"/>
        <v/>
      </c>
    </row>
    <row r="51" spans="1:59" x14ac:dyDescent="0.3">
      <c r="A51" s="3">
        <v>100</v>
      </c>
      <c r="B51" s="3">
        <v>280</v>
      </c>
      <c r="C51" s="2">
        <v>30</v>
      </c>
      <c r="D51" s="2">
        <v>120</v>
      </c>
      <c r="E51" s="2">
        <v>200</v>
      </c>
      <c r="F51" s="2" t="s">
        <v>18</v>
      </c>
      <c r="G51" s="2">
        <v>30</v>
      </c>
      <c r="H51" s="3">
        <v>500</v>
      </c>
      <c r="I51" s="3">
        <v>138.88888888888889</v>
      </c>
      <c r="J51" s="3" t="s">
        <v>23</v>
      </c>
      <c r="K51" s="2">
        <v>181.2</v>
      </c>
      <c r="L51" s="3">
        <v>175</v>
      </c>
      <c r="M51" s="3">
        <v>189.3</v>
      </c>
      <c r="O51" s="24"/>
      <c r="P51" s="3"/>
      <c r="Q51" s="3"/>
      <c r="R51" s="20" t="s">
        <v>20</v>
      </c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2"/>
      <c r="AP51" s="3"/>
      <c r="AQ51" s="2"/>
      <c r="AR51" s="2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 t="str">
        <f t="shared" si="0"/>
        <v/>
      </c>
    </row>
    <row r="52" spans="1:59" x14ac:dyDescent="0.3">
      <c r="A52" s="3">
        <v>100</v>
      </c>
      <c r="B52" s="3">
        <v>280</v>
      </c>
      <c r="C52" s="2">
        <v>30</v>
      </c>
      <c r="D52" s="2">
        <v>120</v>
      </c>
      <c r="E52" s="2">
        <v>200</v>
      </c>
      <c r="F52" s="2" t="s">
        <v>18</v>
      </c>
      <c r="G52" s="2">
        <v>30</v>
      </c>
      <c r="H52" s="3">
        <v>357.14285714285717</v>
      </c>
      <c r="I52" s="3">
        <v>99.206349206349202</v>
      </c>
      <c r="J52" s="3" t="s">
        <v>23</v>
      </c>
      <c r="K52" s="2">
        <v>156</v>
      </c>
      <c r="L52" s="3">
        <v>128.6</v>
      </c>
      <c r="M52" s="3">
        <v>163.4</v>
      </c>
      <c r="O52" s="24"/>
      <c r="P52" s="3"/>
      <c r="Q52" s="3"/>
      <c r="R52" s="20" t="s">
        <v>20</v>
      </c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6"/>
      <c r="AG52" s="2"/>
      <c r="AH52" s="3"/>
      <c r="AI52" s="3"/>
      <c r="AJ52" s="3"/>
      <c r="AK52" s="3"/>
      <c r="AL52" s="3"/>
      <c r="AM52" s="3"/>
      <c r="AN52" s="3"/>
      <c r="AO52" s="2"/>
      <c r="AP52" s="3"/>
      <c r="AQ52" s="2"/>
      <c r="AR52" s="2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 t="str">
        <f t="shared" si="0"/>
        <v/>
      </c>
    </row>
    <row r="53" spans="1:59" x14ac:dyDescent="0.3">
      <c r="A53" s="3">
        <v>100</v>
      </c>
      <c r="B53" s="3">
        <v>280</v>
      </c>
      <c r="C53" s="2">
        <v>30</v>
      </c>
      <c r="D53" s="2">
        <v>120</v>
      </c>
      <c r="E53" s="2">
        <v>200</v>
      </c>
      <c r="F53" s="2" t="s">
        <v>18</v>
      </c>
      <c r="G53" s="2">
        <v>30</v>
      </c>
      <c r="H53" s="3">
        <v>357.14285714285717</v>
      </c>
      <c r="I53" s="3">
        <v>99.206349206349202</v>
      </c>
      <c r="J53" s="3" t="s">
        <v>23</v>
      </c>
      <c r="K53" s="2">
        <v>147.6</v>
      </c>
      <c r="L53" s="3">
        <v>130.9</v>
      </c>
      <c r="M53" s="3">
        <v>171.5</v>
      </c>
      <c r="O53" s="24"/>
      <c r="P53" s="3"/>
      <c r="Q53" s="3"/>
      <c r="R53" s="20" t="s">
        <v>20</v>
      </c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2"/>
      <c r="AP53" s="3"/>
      <c r="AQ53" s="2"/>
      <c r="AR53" s="2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 t="str">
        <f t="shared" si="0"/>
        <v/>
      </c>
    </row>
    <row r="54" spans="1:59" x14ac:dyDescent="0.3">
      <c r="A54" s="3">
        <v>120</v>
      </c>
      <c r="B54" s="3">
        <v>100</v>
      </c>
      <c r="C54" s="2">
        <v>30</v>
      </c>
      <c r="D54" s="2">
        <v>120</v>
      </c>
      <c r="E54" s="2">
        <v>200</v>
      </c>
      <c r="F54" s="2" t="s">
        <v>18</v>
      </c>
      <c r="G54" s="2">
        <v>30</v>
      </c>
      <c r="H54" s="3">
        <v>357.14285714285717</v>
      </c>
      <c r="I54" s="3">
        <v>99.206349206349202</v>
      </c>
      <c r="J54" s="3" t="s">
        <v>23</v>
      </c>
      <c r="K54" s="2">
        <v>196.9</v>
      </c>
      <c r="L54" s="3">
        <v>464.8</v>
      </c>
      <c r="M54" s="3">
        <v>593</v>
      </c>
      <c r="O54" s="24"/>
      <c r="P54" s="3"/>
      <c r="Q54" s="3"/>
      <c r="R54" s="20" t="s">
        <v>20</v>
      </c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2"/>
      <c r="AP54" s="3"/>
      <c r="AQ54" s="2"/>
      <c r="AR54" s="2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 t="str">
        <f t="shared" si="0"/>
        <v/>
      </c>
    </row>
    <row r="55" spans="1:59" x14ac:dyDescent="0.3">
      <c r="A55" s="3">
        <v>120</v>
      </c>
      <c r="B55" s="3">
        <v>100</v>
      </c>
      <c r="C55" s="2">
        <v>30</v>
      </c>
      <c r="D55" s="2">
        <v>120</v>
      </c>
      <c r="E55" s="2">
        <v>200</v>
      </c>
      <c r="F55" s="2" t="s">
        <v>18</v>
      </c>
      <c r="G55" s="2">
        <v>30</v>
      </c>
      <c r="H55" s="3">
        <v>1200</v>
      </c>
      <c r="I55" s="7">
        <v>333.33330000000001</v>
      </c>
      <c r="J55" s="3" t="s">
        <v>23</v>
      </c>
      <c r="K55" s="2">
        <v>176</v>
      </c>
      <c r="L55" s="3">
        <v>321.7</v>
      </c>
      <c r="M55" s="3">
        <v>570.20000000000005</v>
      </c>
      <c r="O55" s="24"/>
      <c r="P55" s="3"/>
      <c r="Q55" s="3"/>
      <c r="R55" s="20" t="s">
        <v>20</v>
      </c>
      <c r="S55" s="3"/>
      <c r="T55" s="3"/>
      <c r="U55" s="3"/>
      <c r="V55" s="3"/>
      <c r="W55" s="3"/>
      <c r="X55" s="3"/>
      <c r="Y55" s="3"/>
      <c r="Z55" s="3"/>
      <c r="AA55" s="7"/>
      <c r="AB55" s="3"/>
      <c r="AC55" s="3"/>
      <c r="AD55" s="3"/>
      <c r="AE55" s="3"/>
      <c r="AF55" s="6"/>
      <c r="AG55" s="2"/>
      <c r="AH55" s="3"/>
      <c r="AI55" s="3"/>
      <c r="AJ55" s="3"/>
      <c r="AK55" s="3"/>
      <c r="AL55" s="3"/>
      <c r="AM55" s="3"/>
      <c r="AN55" s="3"/>
      <c r="AO55" s="2"/>
      <c r="AP55" s="3"/>
      <c r="AQ55" s="2"/>
      <c r="AR55" s="2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 t="str">
        <f t="shared" si="0"/>
        <v/>
      </c>
    </row>
    <row r="56" spans="1:59" x14ac:dyDescent="0.3">
      <c r="A56" s="3">
        <v>120</v>
      </c>
      <c r="B56" s="3">
        <v>100</v>
      </c>
      <c r="C56" s="2">
        <v>30</v>
      </c>
      <c r="D56" s="2">
        <v>120</v>
      </c>
      <c r="E56" s="2">
        <v>200</v>
      </c>
      <c r="F56" s="2" t="s">
        <v>18</v>
      </c>
      <c r="G56" s="2">
        <v>30</v>
      </c>
      <c r="H56" s="3">
        <v>1200</v>
      </c>
      <c r="I56" s="7">
        <v>333.33330000000001</v>
      </c>
      <c r="J56" s="3" t="s">
        <v>23</v>
      </c>
      <c r="K56" s="2">
        <v>180.5</v>
      </c>
      <c r="L56" s="3">
        <v>322.10000000000002</v>
      </c>
      <c r="M56" s="3">
        <v>573.9</v>
      </c>
      <c r="O56" s="24"/>
      <c r="P56" s="3"/>
      <c r="Q56" s="3"/>
      <c r="R56" s="20" t="s">
        <v>20</v>
      </c>
      <c r="S56" s="3"/>
      <c r="T56" s="3"/>
      <c r="U56" s="3"/>
      <c r="V56" s="3"/>
      <c r="W56" s="3"/>
      <c r="X56" s="3"/>
      <c r="Y56" s="3"/>
      <c r="Z56" s="3"/>
      <c r="AA56" s="7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2"/>
      <c r="AP56" s="3"/>
      <c r="AQ56" s="2"/>
      <c r="AR56" s="2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 t="str">
        <f t="shared" si="0"/>
        <v/>
      </c>
    </row>
    <row r="57" spans="1:59" x14ac:dyDescent="0.3">
      <c r="A57" s="3">
        <v>120</v>
      </c>
      <c r="B57" s="3">
        <v>200</v>
      </c>
      <c r="C57" s="2">
        <v>30</v>
      </c>
      <c r="D57" s="2">
        <v>120</v>
      </c>
      <c r="E57" s="2">
        <v>200</v>
      </c>
      <c r="F57" s="2" t="s">
        <v>18</v>
      </c>
      <c r="G57" s="2">
        <v>30</v>
      </c>
      <c r="H57" s="3">
        <v>600</v>
      </c>
      <c r="I57" s="7">
        <v>166.66669999999999</v>
      </c>
      <c r="J57" s="3" t="s">
        <v>23</v>
      </c>
      <c r="K57" s="2">
        <v>181.1</v>
      </c>
      <c r="L57" s="3">
        <v>400.6</v>
      </c>
      <c r="M57" s="3">
        <v>462</v>
      </c>
      <c r="O57" s="24"/>
      <c r="P57" s="3"/>
      <c r="Q57" s="3"/>
      <c r="R57" s="20" t="s">
        <v>20</v>
      </c>
      <c r="S57" s="3"/>
      <c r="T57" s="3"/>
      <c r="U57" s="3"/>
      <c r="V57" s="3"/>
      <c r="W57" s="3"/>
      <c r="X57" s="3"/>
      <c r="Y57" s="3"/>
      <c r="Z57" s="3"/>
      <c r="AA57" s="7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2"/>
      <c r="AP57" s="3"/>
      <c r="AQ57" s="2"/>
      <c r="AR57" s="2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 t="str">
        <f t="shared" si="0"/>
        <v/>
      </c>
    </row>
    <row r="58" spans="1:59" x14ac:dyDescent="0.3">
      <c r="A58" s="3">
        <v>120</v>
      </c>
      <c r="B58" s="3">
        <v>200</v>
      </c>
      <c r="C58" s="2">
        <v>30</v>
      </c>
      <c r="D58" s="2">
        <v>120</v>
      </c>
      <c r="E58" s="2">
        <v>200</v>
      </c>
      <c r="F58" s="2" t="s">
        <v>18</v>
      </c>
      <c r="G58" s="2">
        <v>30</v>
      </c>
      <c r="H58" s="3">
        <v>600</v>
      </c>
      <c r="I58" s="3">
        <v>166.66666666666666</v>
      </c>
      <c r="J58" s="3" t="s">
        <v>23</v>
      </c>
      <c r="K58" s="2">
        <v>159.9</v>
      </c>
      <c r="L58" s="3">
        <v>272.3</v>
      </c>
      <c r="M58" s="3">
        <v>447.7</v>
      </c>
      <c r="O58" s="24"/>
      <c r="P58" s="3"/>
      <c r="Q58" s="3"/>
      <c r="R58" s="20" t="s">
        <v>20</v>
      </c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6"/>
      <c r="AG58" s="2"/>
      <c r="AH58" s="3"/>
      <c r="AI58" s="3"/>
      <c r="AJ58" s="3"/>
      <c r="AK58" s="3"/>
      <c r="AL58" s="3"/>
      <c r="AM58" s="3"/>
      <c r="AN58" s="3"/>
      <c r="AO58" s="2"/>
      <c r="AP58" s="3"/>
      <c r="AQ58" s="2"/>
      <c r="AR58" s="2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 t="str">
        <f t="shared" si="0"/>
        <v/>
      </c>
    </row>
    <row r="59" spans="1:59" x14ac:dyDescent="0.3">
      <c r="A59" s="3">
        <v>120</v>
      </c>
      <c r="B59" s="3">
        <v>200</v>
      </c>
      <c r="C59" s="2">
        <v>30</v>
      </c>
      <c r="D59" s="2">
        <v>120</v>
      </c>
      <c r="E59" s="2">
        <v>200</v>
      </c>
      <c r="F59" s="2" t="s">
        <v>18</v>
      </c>
      <c r="G59" s="2">
        <v>30</v>
      </c>
      <c r="H59" s="3">
        <v>600</v>
      </c>
      <c r="I59" s="3">
        <v>166.66666666666666</v>
      </c>
      <c r="J59" s="3" t="s">
        <v>23</v>
      </c>
      <c r="K59" s="2">
        <v>160.80000000000001</v>
      </c>
      <c r="L59" s="3">
        <v>265.10000000000002</v>
      </c>
      <c r="M59" s="3">
        <v>447.8</v>
      </c>
      <c r="O59" s="24"/>
      <c r="P59" s="3"/>
      <c r="Q59" s="3"/>
      <c r="R59" s="20" t="s">
        <v>20</v>
      </c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2"/>
      <c r="AP59" s="3"/>
      <c r="AQ59" s="2"/>
      <c r="AR59" s="2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 t="str">
        <f t="shared" si="0"/>
        <v/>
      </c>
    </row>
    <row r="60" spans="1:59" x14ac:dyDescent="0.3">
      <c r="A60" s="3">
        <v>120</v>
      </c>
      <c r="B60" s="3">
        <v>280</v>
      </c>
      <c r="C60" s="2">
        <v>30</v>
      </c>
      <c r="D60" s="2">
        <v>120</v>
      </c>
      <c r="E60" s="2">
        <v>200</v>
      </c>
      <c r="F60" s="2" t="s">
        <v>18</v>
      </c>
      <c r="G60" s="2">
        <v>30</v>
      </c>
      <c r="H60" s="3">
        <v>600</v>
      </c>
      <c r="I60" s="3">
        <v>166.66666666666666</v>
      </c>
      <c r="J60" s="3" t="s">
        <v>23</v>
      </c>
      <c r="K60" s="2">
        <v>175.3</v>
      </c>
      <c r="L60" s="3">
        <v>228.6</v>
      </c>
      <c r="M60" s="3">
        <v>251.8</v>
      </c>
      <c r="O60" s="24"/>
      <c r="P60" s="3"/>
      <c r="Q60" s="3"/>
      <c r="R60" s="20" t="s">
        <v>20</v>
      </c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2"/>
      <c r="AP60" s="3"/>
      <c r="AQ60" s="2"/>
      <c r="AR60" s="2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 t="str">
        <f t="shared" si="0"/>
        <v/>
      </c>
    </row>
    <row r="61" spans="1:59" x14ac:dyDescent="0.3">
      <c r="A61" s="3">
        <v>120</v>
      </c>
      <c r="B61" s="3">
        <v>280</v>
      </c>
      <c r="C61" s="2">
        <v>30</v>
      </c>
      <c r="D61" s="2">
        <v>120</v>
      </c>
      <c r="E61" s="2">
        <v>200</v>
      </c>
      <c r="F61" s="2" t="s">
        <v>18</v>
      </c>
      <c r="G61" s="2">
        <v>30</v>
      </c>
      <c r="H61" s="3">
        <v>428.57142857142856</v>
      </c>
      <c r="I61" s="3">
        <v>119.04761904761905</v>
      </c>
      <c r="J61" s="3" t="s">
        <v>23</v>
      </c>
      <c r="K61" s="2">
        <v>155.9</v>
      </c>
      <c r="L61" s="3">
        <v>174.8</v>
      </c>
      <c r="M61" s="3">
        <v>243.3</v>
      </c>
      <c r="O61" s="24"/>
      <c r="P61" s="3"/>
      <c r="Q61" s="3"/>
      <c r="R61" s="20" t="s">
        <v>20</v>
      </c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6"/>
      <c r="AG61" s="2"/>
      <c r="AH61" s="3"/>
      <c r="AI61" s="3"/>
      <c r="AJ61" s="3"/>
      <c r="AK61" s="3"/>
      <c r="AL61" s="3"/>
      <c r="AM61" s="3"/>
      <c r="AN61" s="3"/>
      <c r="AO61" s="2"/>
      <c r="AP61" s="3"/>
      <c r="AQ61" s="2"/>
      <c r="AR61" s="2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 t="str">
        <f t="shared" si="0"/>
        <v/>
      </c>
    </row>
    <row r="62" spans="1:59" x14ac:dyDescent="0.3">
      <c r="A62" s="3">
        <v>120</v>
      </c>
      <c r="B62" s="3">
        <v>280</v>
      </c>
      <c r="C62" s="2">
        <v>30</v>
      </c>
      <c r="D62" s="2">
        <v>120</v>
      </c>
      <c r="E62" s="2">
        <v>200</v>
      </c>
      <c r="F62" s="2" t="s">
        <v>18</v>
      </c>
      <c r="G62" s="2">
        <v>30</v>
      </c>
      <c r="H62" s="3">
        <v>428.57142857142856</v>
      </c>
      <c r="I62" s="3">
        <v>119.04761904761905</v>
      </c>
      <c r="J62" s="3" t="s">
        <v>23</v>
      </c>
      <c r="K62" s="2">
        <v>156.6</v>
      </c>
      <c r="L62" s="3">
        <v>187.8</v>
      </c>
      <c r="M62" s="3">
        <v>247.4</v>
      </c>
      <c r="O62" s="24"/>
      <c r="P62" s="3"/>
      <c r="Q62" s="3"/>
      <c r="R62" s="20" t="s">
        <v>20</v>
      </c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2"/>
      <c r="AP62" s="3"/>
      <c r="AQ62" s="2"/>
      <c r="AR62" s="2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 t="str">
        <f t="shared" si="0"/>
        <v/>
      </c>
    </row>
    <row r="63" spans="1:59" x14ac:dyDescent="0.3">
      <c r="A63" s="3">
        <v>140</v>
      </c>
      <c r="B63" s="3">
        <v>100</v>
      </c>
      <c r="C63" s="2">
        <v>30</v>
      </c>
      <c r="D63" s="2">
        <v>120</v>
      </c>
      <c r="E63" s="2">
        <v>200</v>
      </c>
      <c r="F63" s="2" t="s">
        <v>18</v>
      </c>
      <c r="G63" s="2">
        <v>30</v>
      </c>
      <c r="H63" s="3">
        <v>428.57142857142856</v>
      </c>
      <c r="I63" s="3">
        <v>119.04761904761905</v>
      </c>
      <c r="J63" s="3" t="s">
        <v>23</v>
      </c>
      <c r="K63" s="2">
        <v>198.4</v>
      </c>
      <c r="L63" s="3">
        <v>455.2</v>
      </c>
      <c r="M63" s="3">
        <v>585.79999999999995</v>
      </c>
      <c r="O63" s="24"/>
      <c r="P63" s="3"/>
      <c r="Q63" s="3"/>
      <c r="R63" s="20" t="s">
        <v>20</v>
      </c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2"/>
      <c r="AP63" s="3"/>
      <c r="AQ63" s="2"/>
      <c r="AR63" s="2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 t="str">
        <f t="shared" ref="BG63:BG71" si="1">IF(COUNT(AU63,AS63,AW63)=3, ((AU63-AS63)/AW63), "")</f>
        <v/>
      </c>
    </row>
    <row r="64" spans="1:59" x14ac:dyDescent="0.3">
      <c r="A64" s="3">
        <v>140</v>
      </c>
      <c r="B64" s="3">
        <v>100</v>
      </c>
      <c r="C64" s="2">
        <v>30</v>
      </c>
      <c r="D64" s="2">
        <v>120</v>
      </c>
      <c r="E64" s="2">
        <v>200</v>
      </c>
      <c r="F64" s="2" t="s">
        <v>18</v>
      </c>
      <c r="G64" s="2">
        <v>30</v>
      </c>
      <c r="H64" s="3">
        <v>1400</v>
      </c>
      <c r="I64" s="7">
        <v>388.88889999999998</v>
      </c>
      <c r="J64" s="3" t="s">
        <v>23</v>
      </c>
      <c r="K64" s="2">
        <v>173.2</v>
      </c>
      <c r="L64" s="3">
        <v>321.89999999999998</v>
      </c>
      <c r="M64" s="3">
        <v>570.70000000000005</v>
      </c>
      <c r="O64" s="24"/>
      <c r="P64" s="3"/>
      <c r="Q64" s="3"/>
      <c r="R64" s="20" t="s">
        <v>20</v>
      </c>
      <c r="S64" s="3"/>
      <c r="T64" s="3"/>
      <c r="U64" s="3"/>
      <c r="V64" s="3"/>
      <c r="W64" s="3"/>
      <c r="X64" s="3"/>
      <c r="Y64" s="3"/>
      <c r="Z64" s="3"/>
      <c r="AA64" s="7"/>
      <c r="AB64" s="3"/>
      <c r="AC64" s="3"/>
      <c r="AD64" s="3"/>
      <c r="AE64" s="3"/>
      <c r="AF64" s="6"/>
      <c r="AG64" s="2"/>
      <c r="AH64" s="3"/>
      <c r="AI64" s="3"/>
      <c r="AJ64" s="3"/>
      <c r="AK64" s="3"/>
      <c r="AL64" s="3"/>
      <c r="AM64" s="3"/>
      <c r="AN64" s="3"/>
      <c r="AO64" s="2"/>
      <c r="AP64" s="3"/>
      <c r="AQ64" s="2"/>
      <c r="AR64" s="2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 t="str">
        <f t="shared" si="1"/>
        <v/>
      </c>
    </row>
    <row r="65" spans="1:59" x14ac:dyDescent="0.3">
      <c r="A65" s="3">
        <v>140</v>
      </c>
      <c r="B65" s="3">
        <v>100</v>
      </c>
      <c r="C65" s="2">
        <v>30</v>
      </c>
      <c r="D65" s="2">
        <v>120</v>
      </c>
      <c r="E65" s="2">
        <v>200</v>
      </c>
      <c r="F65" s="2" t="s">
        <v>18</v>
      </c>
      <c r="G65" s="2">
        <v>30</v>
      </c>
      <c r="H65" s="3">
        <v>1400</v>
      </c>
      <c r="I65" s="7">
        <v>388.88889999999998</v>
      </c>
      <c r="J65" s="3" t="s">
        <v>23</v>
      </c>
      <c r="K65" s="2">
        <v>177.7</v>
      </c>
      <c r="L65" s="3">
        <v>319</v>
      </c>
      <c r="M65" s="3">
        <v>566.70000000000005</v>
      </c>
      <c r="O65" s="24"/>
      <c r="P65" s="3"/>
      <c r="Q65" s="3"/>
      <c r="R65" s="20" t="s">
        <v>20</v>
      </c>
      <c r="S65" s="3"/>
      <c r="T65" s="3"/>
      <c r="U65" s="3"/>
      <c r="V65" s="3"/>
      <c r="W65" s="3"/>
      <c r="X65" s="3"/>
      <c r="Y65" s="3"/>
      <c r="Z65" s="3"/>
      <c r="AA65" s="7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2"/>
      <c r="AP65" s="3"/>
      <c r="AQ65" s="2"/>
      <c r="AR65" s="2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 t="str">
        <f t="shared" si="1"/>
        <v/>
      </c>
    </row>
    <row r="66" spans="1:59" x14ac:dyDescent="0.3">
      <c r="A66" s="3">
        <v>140</v>
      </c>
      <c r="B66" s="3">
        <v>200</v>
      </c>
      <c r="C66" s="2">
        <v>30</v>
      </c>
      <c r="D66" s="2">
        <v>120</v>
      </c>
      <c r="E66" s="2">
        <v>200</v>
      </c>
      <c r="F66" s="2" t="s">
        <v>18</v>
      </c>
      <c r="G66" s="2">
        <v>30</v>
      </c>
      <c r="H66" s="3">
        <v>700</v>
      </c>
      <c r="I66" s="7">
        <v>194.4444</v>
      </c>
      <c r="J66" s="3" t="s">
        <v>23</v>
      </c>
      <c r="K66" s="2">
        <v>191.4</v>
      </c>
      <c r="L66" s="3">
        <v>426.7</v>
      </c>
      <c r="M66" s="3">
        <v>516.9</v>
      </c>
      <c r="O66" s="24"/>
      <c r="P66" s="3"/>
      <c r="Q66" s="3"/>
      <c r="R66" s="20" t="s">
        <v>25</v>
      </c>
      <c r="S66" s="3"/>
      <c r="T66" s="3"/>
      <c r="U66" s="3"/>
      <c r="V66" s="3"/>
      <c r="W66" s="3"/>
      <c r="X66" s="3"/>
      <c r="Y66" s="3"/>
      <c r="Z66" s="3"/>
      <c r="AA66" s="7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2"/>
      <c r="AP66" s="3"/>
      <c r="AQ66" s="2"/>
      <c r="AR66" s="2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 t="str">
        <f t="shared" si="1"/>
        <v/>
      </c>
    </row>
    <row r="67" spans="1:59" x14ac:dyDescent="0.3">
      <c r="A67" s="3">
        <v>140</v>
      </c>
      <c r="B67" s="3">
        <v>200</v>
      </c>
      <c r="C67" s="2">
        <v>30</v>
      </c>
      <c r="D67" s="2">
        <v>120</v>
      </c>
      <c r="E67" s="2">
        <v>200</v>
      </c>
      <c r="F67" s="2" t="s">
        <v>18</v>
      </c>
      <c r="G67" s="2">
        <v>30</v>
      </c>
      <c r="H67" s="3">
        <v>700</v>
      </c>
      <c r="I67" s="3">
        <v>194.44444444444443</v>
      </c>
      <c r="J67" s="3" t="s">
        <v>23</v>
      </c>
      <c r="K67" s="2">
        <v>166.5</v>
      </c>
      <c r="L67" s="3">
        <v>290.8</v>
      </c>
      <c r="M67" s="3">
        <v>497</v>
      </c>
      <c r="O67" s="24"/>
      <c r="P67" s="3"/>
      <c r="Q67" s="3"/>
      <c r="R67" s="20" t="s">
        <v>25</v>
      </c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6"/>
      <c r="AG67" s="2"/>
      <c r="AH67" s="3"/>
      <c r="AI67" s="3"/>
      <c r="AJ67" s="3"/>
      <c r="AK67" s="3"/>
      <c r="AL67" s="3"/>
      <c r="AM67" s="3"/>
      <c r="AN67" s="3"/>
      <c r="AO67" s="2"/>
      <c r="AP67" s="3"/>
      <c r="AQ67" s="2"/>
      <c r="AR67" s="2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 t="str">
        <f t="shared" si="1"/>
        <v/>
      </c>
    </row>
    <row r="68" spans="1:59" x14ac:dyDescent="0.3">
      <c r="A68" s="3">
        <v>140</v>
      </c>
      <c r="B68" s="3">
        <v>200</v>
      </c>
      <c r="C68" s="2">
        <v>30</v>
      </c>
      <c r="D68" s="2">
        <v>120</v>
      </c>
      <c r="E68" s="2">
        <v>200</v>
      </c>
      <c r="F68" s="2" t="s">
        <v>18</v>
      </c>
      <c r="G68" s="2">
        <v>30</v>
      </c>
      <c r="H68" s="3">
        <v>700</v>
      </c>
      <c r="I68" s="3">
        <v>194.44444444444443</v>
      </c>
      <c r="J68" s="3" t="s">
        <v>23</v>
      </c>
      <c r="K68" s="2">
        <v>169.2</v>
      </c>
      <c r="L68" s="3">
        <v>297.8</v>
      </c>
      <c r="M68" s="3">
        <v>506.5</v>
      </c>
      <c r="O68" s="24"/>
      <c r="P68" s="3"/>
      <c r="Q68" s="3"/>
      <c r="R68" s="20" t="s">
        <v>25</v>
      </c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2"/>
      <c r="AP68" s="3"/>
      <c r="AQ68" s="2"/>
      <c r="AR68" s="2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 t="str">
        <f t="shared" si="1"/>
        <v/>
      </c>
    </row>
    <row r="69" spans="1:59" x14ac:dyDescent="0.3">
      <c r="A69" s="3">
        <v>140</v>
      </c>
      <c r="B69" s="3">
        <v>280</v>
      </c>
      <c r="C69" s="2">
        <v>30</v>
      </c>
      <c r="D69" s="2">
        <v>120</v>
      </c>
      <c r="E69" s="2">
        <v>200</v>
      </c>
      <c r="F69" s="2" t="s">
        <v>18</v>
      </c>
      <c r="G69" s="2">
        <v>30</v>
      </c>
      <c r="H69" s="3">
        <v>700</v>
      </c>
      <c r="I69" s="3">
        <v>194.44444444444443</v>
      </c>
      <c r="J69" s="3" t="s">
        <v>23</v>
      </c>
      <c r="K69" s="2">
        <v>191.8</v>
      </c>
      <c r="L69" s="3">
        <v>301.39999999999998</v>
      </c>
      <c r="M69" s="3">
        <v>347.8</v>
      </c>
      <c r="O69" s="24"/>
      <c r="P69" s="3"/>
      <c r="Q69" s="3"/>
      <c r="R69" s="20" t="s">
        <v>25</v>
      </c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2"/>
      <c r="AP69" s="3"/>
      <c r="AQ69" s="2"/>
      <c r="AR69" s="2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 t="str">
        <f t="shared" si="1"/>
        <v/>
      </c>
    </row>
    <row r="70" spans="1:59" x14ac:dyDescent="0.3">
      <c r="A70" s="3">
        <v>140</v>
      </c>
      <c r="B70" s="3">
        <v>280</v>
      </c>
      <c r="C70" s="2">
        <v>30</v>
      </c>
      <c r="D70" s="2">
        <v>120</v>
      </c>
      <c r="E70" s="2">
        <v>200</v>
      </c>
      <c r="F70" s="2" t="s">
        <v>18</v>
      </c>
      <c r="G70" s="2">
        <v>30</v>
      </c>
      <c r="H70" s="3">
        <v>500</v>
      </c>
      <c r="I70" s="3">
        <v>138.88888888888889</v>
      </c>
      <c r="J70" s="3" t="s">
        <v>23</v>
      </c>
      <c r="K70" s="2">
        <v>160.1</v>
      </c>
      <c r="L70" s="3">
        <v>217</v>
      </c>
      <c r="M70" s="3">
        <v>323.2</v>
      </c>
      <c r="O70" s="24"/>
      <c r="P70" s="3"/>
      <c r="Q70" s="3"/>
      <c r="R70" s="20" t="s">
        <v>25</v>
      </c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6"/>
      <c r="AG70" s="2"/>
      <c r="AH70" s="3"/>
      <c r="AI70" s="3"/>
      <c r="AJ70" s="3"/>
      <c r="AK70" s="3"/>
      <c r="AL70" s="3"/>
      <c r="AM70" s="3"/>
      <c r="AN70" s="3"/>
      <c r="AO70" s="2"/>
      <c r="AP70" s="3"/>
      <c r="AQ70" s="2"/>
      <c r="AR70" s="2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 t="str">
        <f t="shared" si="1"/>
        <v/>
      </c>
    </row>
    <row r="71" spans="1:59" x14ac:dyDescent="0.3">
      <c r="A71" s="3">
        <v>140</v>
      </c>
      <c r="B71" s="3">
        <v>280</v>
      </c>
      <c r="C71" s="2">
        <v>30</v>
      </c>
      <c r="D71" s="2">
        <v>120</v>
      </c>
      <c r="E71" s="2">
        <v>200</v>
      </c>
      <c r="F71" s="2" t="s">
        <v>18</v>
      </c>
      <c r="G71" s="2">
        <v>30</v>
      </c>
      <c r="H71" s="3">
        <v>500</v>
      </c>
      <c r="I71" s="3">
        <v>138.88888888888889</v>
      </c>
      <c r="J71" s="3" t="s">
        <v>23</v>
      </c>
      <c r="K71" s="2">
        <v>162.4</v>
      </c>
      <c r="L71" s="3">
        <v>221.3</v>
      </c>
      <c r="M71" s="3">
        <v>332.6</v>
      </c>
      <c r="O71" s="25"/>
      <c r="P71" s="21"/>
      <c r="Q71" s="21"/>
      <c r="R71" s="20" t="s">
        <v>25</v>
      </c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2"/>
      <c r="AP71" s="3"/>
      <c r="AQ71" s="2"/>
      <c r="AR71" s="2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 t="str">
        <f t="shared" si="1"/>
        <v/>
      </c>
    </row>
    <row r="72" spans="1:59" x14ac:dyDescent="0.3">
      <c r="A72" s="1">
        <v>170</v>
      </c>
      <c r="B72" s="1">
        <v>700</v>
      </c>
      <c r="C72" s="1">
        <v>60</v>
      </c>
      <c r="D72" s="2">
        <v>120</v>
      </c>
      <c r="E72" s="2">
        <v>100</v>
      </c>
      <c r="F72" s="2" t="s">
        <v>18</v>
      </c>
      <c r="G72" s="2">
        <v>90</v>
      </c>
      <c r="H72" s="2">
        <v>242.85</v>
      </c>
      <c r="I72" s="2">
        <v>33.729999999999997</v>
      </c>
      <c r="J72" s="2" t="s">
        <v>19</v>
      </c>
      <c r="K72" s="2"/>
      <c r="L72" s="2">
        <v>534</v>
      </c>
      <c r="M72" s="2">
        <v>653</v>
      </c>
      <c r="N72" s="3"/>
      <c r="O72" s="23"/>
      <c r="P72" s="2"/>
      <c r="Q72" s="2"/>
      <c r="R72" s="20" t="s">
        <v>25</v>
      </c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2"/>
      <c r="AF72" s="2"/>
      <c r="AG72" s="2"/>
      <c r="AH72" s="3"/>
      <c r="AI72" s="3"/>
      <c r="AJ72" s="3"/>
      <c r="AK72" s="3"/>
      <c r="AL72" s="3"/>
      <c r="AM72" s="3"/>
      <c r="AN72" s="3"/>
      <c r="AO72" s="2"/>
      <c r="AP72" s="3"/>
      <c r="AQ72" s="2"/>
      <c r="AR72" s="2"/>
      <c r="AS72" s="2"/>
      <c r="AT72" s="3"/>
      <c r="AU72" s="2"/>
      <c r="AV72" s="3"/>
      <c r="AW72" s="2"/>
      <c r="AX72" s="3"/>
      <c r="AY72" s="3"/>
      <c r="AZ72" s="3"/>
      <c r="BA72" s="3"/>
      <c r="BB72" s="3"/>
      <c r="BC72" s="3"/>
      <c r="BD72" s="3"/>
      <c r="BE72" s="3"/>
      <c r="BF72" s="3"/>
      <c r="BG72" s="3"/>
    </row>
    <row r="73" spans="1:59" x14ac:dyDescent="0.3">
      <c r="A73" s="3">
        <v>170</v>
      </c>
      <c r="B73" s="3">
        <v>700</v>
      </c>
      <c r="C73" s="2">
        <v>60</v>
      </c>
      <c r="D73" s="2">
        <v>120</v>
      </c>
      <c r="E73" s="2">
        <v>100</v>
      </c>
      <c r="F73" s="2" t="s">
        <v>18</v>
      </c>
      <c r="G73" s="2">
        <v>90</v>
      </c>
      <c r="H73" s="3">
        <v>242.85</v>
      </c>
      <c r="I73" s="3">
        <v>33.75</v>
      </c>
      <c r="J73" s="3" t="s">
        <v>19</v>
      </c>
      <c r="L73" s="3">
        <v>528</v>
      </c>
      <c r="M73" s="3">
        <v>659</v>
      </c>
      <c r="R73" s="20" t="s">
        <v>25</v>
      </c>
    </row>
    <row r="74" spans="1:59" x14ac:dyDescent="0.3">
      <c r="A74" s="3">
        <v>170</v>
      </c>
      <c r="B74" s="3">
        <v>700</v>
      </c>
      <c r="C74" s="2">
        <v>60</v>
      </c>
      <c r="D74" s="2">
        <v>120</v>
      </c>
      <c r="E74" s="2">
        <v>100</v>
      </c>
      <c r="F74" s="2" t="s">
        <v>18</v>
      </c>
      <c r="G74" s="2">
        <v>90</v>
      </c>
      <c r="H74" s="3">
        <v>242.85</v>
      </c>
      <c r="I74" s="3">
        <v>33.75</v>
      </c>
      <c r="J74" s="3" t="s">
        <v>19</v>
      </c>
      <c r="L74" s="3">
        <v>444</v>
      </c>
      <c r="M74" s="3">
        <v>567</v>
      </c>
      <c r="R74" s="20" t="s">
        <v>25</v>
      </c>
    </row>
    <row r="75" spans="1:59" x14ac:dyDescent="0.3">
      <c r="A75" s="3">
        <v>190</v>
      </c>
      <c r="B75" s="3">
        <v>1000</v>
      </c>
      <c r="C75" s="2">
        <v>40</v>
      </c>
      <c r="D75" s="2">
        <v>50</v>
      </c>
      <c r="G75" s="2">
        <v>0</v>
      </c>
      <c r="H75" s="3">
        <v>190</v>
      </c>
      <c r="I75" s="3">
        <v>95</v>
      </c>
      <c r="J75" s="3" t="s">
        <v>23</v>
      </c>
      <c r="N75" s="17">
        <v>97.36</v>
      </c>
      <c r="R75" t="s">
        <v>26</v>
      </c>
    </row>
    <row r="76" spans="1:59" x14ac:dyDescent="0.3">
      <c r="A76" s="3">
        <v>190</v>
      </c>
      <c r="B76" s="3">
        <v>1350</v>
      </c>
      <c r="C76" s="2">
        <v>40</v>
      </c>
      <c r="D76" s="2">
        <v>100</v>
      </c>
      <c r="G76" s="2">
        <v>67</v>
      </c>
      <c r="H76" s="3">
        <v>140.74</v>
      </c>
      <c r="I76" s="3">
        <v>35.19</v>
      </c>
      <c r="J76" s="3" t="s">
        <v>23</v>
      </c>
      <c r="N76" s="18">
        <v>96.12</v>
      </c>
      <c r="R76" t="s">
        <v>26</v>
      </c>
    </row>
    <row r="77" spans="1:59" x14ac:dyDescent="0.3">
      <c r="A77" s="3">
        <v>190</v>
      </c>
      <c r="B77" s="3">
        <v>1700</v>
      </c>
      <c r="C77" s="2">
        <v>40</v>
      </c>
      <c r="D77" s="2">
        <v>150</v>
      </c>
      <c r="G77" s="2">
        <v>90</v>
      </c>
      <c r="H77" s="3">
        <v>111.76</v>
      </c>
      <c r="I77" s="3">
        <v>18.63</v>
      </c>
      <c r="J77" s="3" t="s">
        <v>23</v>
      </c>
      <c r="N77" s="18">
        <v>75.790000000000006</v>
      </c>
      <c r="R77" t="s">
        <v>26</v>
      </c>
    </row>
    <row r="78" spans="1:59" x14ac:dyDescent="0.3">
      <c r="A78" s="3">
        <v>260</v>
      </c>
      <c r="B78" s="3">
        <v>1000</v>
      </c>
      <c r="C78" s="2">
        <v>40</v>
      </c>
      <c r="D78" s="2">
        <v>100</v>
      </c>
      <c r="G78" s="2">
        <v>90</v>
      </c>
      <c r="H78" s="3">
        <v>260</v>
      </c>
      <c r="I78" s="3">
        <v>65</v>
      </c>
      <c r="J78" s="3" t="s">
        <v>23</v>
      </c>
      <c r="N78" s="18">
        <v>98.4</v>
      </c>
      <c r="R78" t="s">
        <v>26</v>
      </c>
    </row>
    <row r="79" spans="1:59" x14ac:dyDescent="0.3">
      <c r="A79" s="3">
        <v>260</v>
      </c>
      <c r="B79" s="3">
        <v>1350</v>
      </c>
      <c r="C79" s="2">
        <v>40</v>
      </c>
      <c r="D79" s="2">
        <v>150</v>
      </c>
      <c r="G79" s="2">
        <v>0</v>
      </c>
      <c r="H79" s="3">
        <v>192.59</v>
      </c>
      <c r="I79" s="3">
        <v>32.1</v>
      </c>
      <c r="J79" s="3" t="s">
        <v>23</v>
      </c>
      <c r="N79" s="18">
        <v>95.91</v>
      </c>
      <c r="R79" t="s">
        <v>26</v>
      </c>
    </row>
    <row r="80" spans="1:59" x14ac:dyDescent="0.3">
      <c r="A80" s="3">
        <v>260</v>
      </c>
      <c r="B80" s="3">
        <v>1700</v>
      </c>
      <c r="C80" s="2">
        <v>40</v>
      </c>
      <c r="D80" s="2">
        <v>50</v>
      </c>
      <c r="G80" s="2">
        <v>67</v>
      </c>
      <c r="H80" s="3">
        <v>152.94</v>
      </c>
      <c r="I80" s="3">
        <v>76.47</v>
      </c>
      <c r="J80" s="3" t="s">
        <v>23</v>
      </c>
      <c r="N80" s="18">
        <v>98.5</v>
      </c>
      <c r="R80" t="s">
        <v>26</v>
      </c>
    </row>
    <row r="81" spans="1:18" x14ac:dyDescent="0.3">
      <c r="A81" s="3">
        <v>330</v>
      </c>
      <c r="B81" s="3">
        <v>1000</v>
      </c>
      <c r="C81" s="2">
        <v>40</v>
      </c>
      <c r="D81" s="2">
        <v>150</v>
      </c>
      <c r="G81" s="2">
        <v>67</v>
      </c>
      <c r="H81" s="3">
        <v>330</v>
      </c>
      <c r="I81" s="3">
        <v>55</v>
      </c>
      <c r="J81" s="3" t="s">
        <v>23</v>
      </c>
      <c r="N81" s="18">
        <v>97.6</v>
      </c>
      <c r="R81" t="s">
        <v>26</v>
      </c>
    </row>
    <row r="82" spans="1:18" x14ac:dyDescent="0.3">
      <c r="A82" s="3">
        <v>330</v>
      </c>
      <c r="B82" s="3">
        <v>1350</v>
      </c>
      <c r="C82" s="2">
        <v>40</v>
      </c>
      <c r="D82" s="2">
        <v>50</v>
      </c>
      <c r="G82" s="2">
        <v>90</v>
      </c>
      <c r="H82" s="3">
        <v>244.44</v>
      </c>
      <c r="I82" s="3">
        <v>122.22</v>
      </c>
      <c r="J82" s="3" t="s">
        <v>23</v>
      </c>
      <c r="N82" s="18">
        <v>97.76</v>
      </c>
      <c r="R82" t="s">
        <v>26</v>
      </c>
    </row>
    <row r="83" spans="1:18" x14ac:dyDescent="0.3">
      <c r="A83" s="3">
        <v>330</v>
      </c>
      <c r="B83" s="3">
        <v>1700</v>
      </c>
      <c r="C83" s="2">
        <v>40</v>
      </c>
      <c r="D83" s="2">
        <v>100</v>
      </c>
      <c r="G83" s="2">
        <v>0</v>
      </c>
      <c r="H83" s="3">
        <v>194.11</v>
      </c>
      <c r="I83" s="3">
        <v>48.53</v>
      </c>
      <c r="J83" s="3" t="s">
        <v>23</v>
      </c>
      <c r="N83" s="18">
        <v>97</v>
      </c>
      <c r="R83" t="s">
        <v>26</v>
      </c>
    </row>
    <row r="84" spans="1:18" x14ac:dyDescent="0.3">
      <c r="A84" s="3">
        <v>220</v>
      </c>
      <c r="B84" s="3">
        <v>960</v>
      </c>
      <c r="C84" s="2">
        <v>40</v>
      </c>
      <c r="D84" s="2">
        <v>80</v>
      </c>
      <c r="E84" s="18">
        <v>100</v>
      </c>
      <c r="G84" s="2">
        <v>0</v>
      </c>
      <c r="H84" s="3">
        <v>229.16669999999999</v>
      </c>
      <c r="I84" s="3">
        <v>71.61</v>
      </c>
      <c r="M84" s="18">
        <v>578.89499999999998</v>
      </c>
      <c r="N84" s="18">
        <v>95.8</v>
      </c>
      <c r="O84" s="26">
        <v>43</v>
      </c>
      <c r="P84" s="18" t="s">
        <v>27</v>
      </c>
      <c r="Q84" s="18" t="s">
        <v>28</v>
      </c>
      <c r="R84" s="19" t="s">
        <v>29</v>
      </c>
    </row>
    <row r="85" spans="1:18" x14ac:dyDescent="0.3">
      <c r="A85" s="3">
        <v>220</v>
      </c>
      <c r="B85" s="3">
        <v>960</v>
      </c>
      <c r="C85" s="2">
        <v>40</v>
      </c>
      <c r="D85" s="2">
        <v>80</v>
      </c>
      <c r="E85" s="18">
        <v>100</v>
      </c>
      <c r="G85" s="2">
        <v>15</v>
      </c>
      <c r="H85" s="3">
        <v>229.16669999999999</v>
      </c>
      <c r="I85" s="3">
        <v>71.61</v>
      </c>
      <c r="M85" s="18">
        <v>592.31899999999996</v>
      </c>
      <c r="N85" s="18">
        <v>95.5</v>
      </c>
      <c r="O85" s="26">
        <v>43</v>
      </c>
      <c r="P85" s="18" t="s">
        <v>27</v>
      </c>
      <c r="Q85" s="18" t="s">
        <v>28</v>
      </c>
      <c r="R85" s="19" t="s">
        <v>29</v>
      </c>
    </row>
    <row r="86" spans="1:18" x14ac:dyDescent="0.3">
      <c r="A86" s="3">
        <v>220</v>
      </c>
      <c r="B86" s="3">
        <v>960</v>
      </c>
      <c r="C86" s="2">
        <v>40</v>
      </c>
      <c r="D86" s="2">
        <v>80</v>
      </c>
      <c r="E86" s="18">
        <v>100</v>
      </c>
      <c r="G86" s="2">
        <v>30</v>
      </c>
      <c r="H86" s="3">
        <v>229.16669999999999</v>
      </c>
      <c r="I86" s="3">
        <v>71.61</v>
      </c>
      <c r="J86" s="3"/>
      <c r="M86" s="18">
        <v>656.99599999999998</v>
      </c>
      <c r="N86" s="18">
        <v>95.9</v>
      </c>
      <c r="O86" s="26">
        <v>43</v>
      </c>
      <c r="P86" s="18" t="s">
        <v>27</v>
      </c>
      <c r="Q86" s="18" t="s">
        <v>28</v>
      </c>
      <c r="R86" s="19" t="s">
        <v>29</v>
      </c>
    </row>
    <row r="87" spans="1:18" x14ac:dyDescent="0.3">
      <c r="A87" s="3">
        <v>220</v>
      </c>
      <c r="B87" s="3">
        <v>960</v>
      </c>
      <c r="C87" s="2">
        <v>40</v>
      </c>
      <c r="D87" s="2">
        <v>80</v>
      </c>
      <c r="E87" s="18">
        <v>100</v>
      </c>
      <c r="G87" s="2">
        <v>45</v>
      </c>
      <c r="H87" s="3">
        <v>229.16669999999999</v>
      </c>
      <c r="I87" s="3">
        <v>71.61</v>
      </c>
      <c r="M87" s="18">
        <v>646.00599999999997</v>
      </c>
      <c r="N87" s="18">
        <v>95.2</v>
      </c>
      <c r="O87" s="26">
        <v>43</v>
      </c>
      <c r="P87" s="18" t="s">
        <v>27</v>
      </c>
      <c r="Q87" s="18" t="s">
        <v>28</v>
      </c>
      <c r="R87" s="19" t="s">
        <v>29</v>
      </c>
    </row>
    <row r="88" spans="1:18" x14ac:dyDescent="0.3">
      <c r="A88" s="3">
        <v>220</v>
      </c>
      <c r="B88" s="3">
        <v>960</v>
      </c>
      <c r="C88" s="2">
        <v>40</v>
      </c>
      <c r="D88" s="2">
        <v>80</v>
      </c>
      <c r="E88" s="18">
        <v>100</v>
      </c>
      <c r="G88" s="2">
        <v>60</v>
      </c>
      <c r="H88" s="3">
        <v>229.16669999999999</v>
      </c>
      <c r="I88" s="3">
        <v>71.61</v>
      </c>
      <c r="M88" s="18">
        <v>604.24699999999996</v>
      </c>
      <c r="N88" s="18">
        <v>95.3</v>
      </c>
      <c r="O88" s="26">
        <v>43</v>
      </c>
      <c r="P88" s="18" t="s">
        <v>27</v>
      </c>
      <c r="Q88" s="18" t="s">
        <v>28</v>
      </c>
      <c r="R88" s="19" t="s">
        <v>29</v>
      </c>
    </row>
    <row r="89" spans="1:18" x14ac:dyDescent="0.3">
      <c r="A89" s="3">
        <v>220</v>
      </c>
      <c r="B89" s="3">
        <v>960</v>
      </c>
      <c r="C89" s="2">
        <v>40</v>
      </c>
      <c r="D89" s="2">
        <v>80</v>
      </c>
      <c r="E89" s="18">
        <v>100</v>
      </c>
      <c r="G89" s="2">
        <v>75</v>
      </c>
      <c r="H89" s="3">
        <v>229.16669999999999</v>
      </c>
      <c r="I89" s="3">
        <v>71.61</v>
      </c>
      <c r="M89" s="18">
        <v>575.01599999999996</v>
      </c>
      <c r="N89" s="18">
        <v>95.8</v>
      </c>
      <c r="O89" s="26">
        <v>43</v>
      </c>
      <c r="P89" s="18" t="s">
        <v>27</v>
      </c>
      <c r="Q89" s="18" t="s">
        <v>28</v>
      </c>
      <c r="R89" s="19" t="s">
        <v>29</v>
      </c>
    </row>
    <row r="90" spans="1:18" x14ac:dyDescent="0.3">
      <c r="A90" s="3">
        <v>220</v>
      </c>
      <c r="B90" s="3">
        <v>960</v>
      </c>
      <c r="C90" s="2">
        <v>40</v>
      </c>
      <c r="D90" s="2">
        <v>80</v>
      </c>
      <c r="E90" s="18">
        <v>100</v>
      </c>
      <c r="G90" s="2">
        <v>90</v>
      </c>
      <c r="H90" s="3">
        <v>229.16669999999999</v>
      </c>
      <c r="I90" s="3">
        <v>71.61</v>
      </c>
      <c r="M90" s="18">
        <v>566.66200000000003</v>
      </c>
      <c r="N90" s="18">
        <v>95.8</v>
      </c>
      <c r="O90" s="26">
        <v>43</v>
      </c>
      <c r="P90" s="18" t="s">
        <v>27</v>
      </c>
      <c r="Q90" s="18" t="s">
        <v>28</v>
      </c>
      <c r="R90" s="19" t="s">
        <v>29</v>
      </c>
    </row>
    <row r="91" spans="1:18" x14ac:dyDescent="0.3">
      <c r="A91" s="3">
        <v>150</v>
      </c>
      <c r="B91" s="3">
        <v>600</v>
      </c>
      <c r="D91" s="2">
        <v>80</v>
      </c>
      <c r="E91" s="18">
        <v>33</v>
      </c>
      <c r="G91" s="2">
        <v>67</v>
      </c>
      <c r="H91" s="3">
        <v>250</v>
      </c>
      <c r="I91" s="3">
        <v>104.2</v>
      </c>
      <c r="L91" s="18">
        <v>503.7</v>
      </c>
      <c r="O91" s="26">
        <v>13.15</v>
      </c>
      <c r="R91" s="20" t="s">
        <v>30</v>
      </c>
    </row>
    <row r="92" spans="1:18" x14ac:dyDescent="0.3">
      <c r="A92" s="3">
        <v>150</v>
      </c>
      <c r="B92" s="3">
        <v>600</v>
      </c>
      <c r="D92" s="2">
        <v>100</v>
      </c>
      <c r="E92" s="18">
        <v>33</v>
      </c>
      <c r="G92" s="2">
        <v>67</v>
      </c>
      <c r="H92" s="3">
        <v>250</v>
      </c>
      <c r="I92" s="3">
        <v>83.3</v>
      </c>
      <c r="L92" s="18">
        <v>526.99</v>
      </c>
      <c r="O92" s="26">
        <v>13.15</v>
      </c>
      <c r="R92" s="20" t="s">
        <v>30</v>
      </c>
    </row>
    <row r="93" spans="1:18" x14ac:dyDescent="0.3">
      <c r="A93" s="3">
        <v>150</v>
      </c>
      <c r="B93" s="3">
        <v>600</v>
      </c>
      <c r="D93" s="2">
        <v>120</v>
      </c>
      <c r="E93" s="18">
        <v>33</v>
      </c>
      <c r="G93" s="2">
        <v>67</v>
      </c>
      <c r="H93" s="3">
        <v>250</v>
      </c>
      <c r="I93" s="3">
        <v>69.400000000000006</v>
      </c>
      <c r="O93" s="26">
        <v>13.15</v>
      </c>
      <c r="R93" s="20" t="s">
        <v>30</v>
      </c>
    </row>
    <row r="94" spans="1:18" x14ac:dyDescent="0.3">
      <c r="A94" s="3">
        <v>150</v>
      </c>
      <c r="B94" s="3">
        <v>800</v>
      </c>
      <c r="D94" s="2">
        <v>80</v>
      </c>
      <c r="E94" s="18">
        <v>33</v>
      </c>
      <c r="G94" s="2">
        <v>67</v>
      </c>
      <c r="H94" s="3">
        <v>187.5</v>
      </c>
      <c r="I94" s="3">
        <v>78.099999999999994</v>
      </c>
      <c r="L94" s="18">
        <v>509.85</v>
      </c>
      <c r="O94" s="26">
        <v>13.15</v>
      </c>
      <c r="R94" s="20" t="s">
        <v>30</v>
      </c>
    </row>
    <row r="95" spans="1:18" x14ac:dyDescent="0.3">
      <c r="A95" s="3">
        <v>150</v>
      </c>
      <c r="B95" s="3">
        <v>800</v>
      </c>
      <c r="D95" s="2">
        <v>100</v>
      </c>
      <c r="E95" s="18">
        <v>33</v>
      </c>
      <c r="G95" s="2">
        <v>67</v>
      </c>
      <c r="H95" s="3">
        <v>187.5</v>
      </c>
      <c r="I95" s="3">
        <v>62.5</v>
      </c>
      <c r="O95" s="26">
        <v>13.15</v>
      </c>
      <c r="R95" s="20" t="s">
        <v>30</v>
      </c>
    </row>
    <row r="96" spans="1:18" x14ac:dyDescent="0.3">
      <c r="A96" s="3">
        <v>150</v>
      </c>
      <c r="B96" s="3">
        <v>800</v>
      </c>
      <c r="D96" s="2">
        <v>120</v>
      </c>
      <c r="E96" s="18">
        <v>33</v>
      </c>
      <c r="G96" s="2">
        <v>67</v>
      </c>
      <c r="H96" s="3">
        <v>187.5</v>
      </c>
      <c r="I96" s="3">
        <v>52.1</v>
      </c>
      <c r="L96" s="18">
        <v>518.4</v>
      </c>
      <c r="O96" s="26">
        <v>13.15</v>
      </c>
      <c r="R96" s="20" t="s">
        <v>30</v>
      </c>
    </row>
    <row r="97" spans="1:18" x14ac:dyDescent="0.3">
      <c r="A97" s="3">
        <v>150</v>
      </c>
      <c r="B97" s="3">
        <v>1000</v>
      </c>
      <c r="D97" s="2">
        <v>80</v>
      </c>
      <c r="E97" s="18">
        <v>33</v>
      </c>
      <c r="G97" s="2">
        <v>67</v>
      </c>
      <c r="H97" s="3">
        <v>150</v>
      </c>
      <c r="I97" s="3">
        <v>62.5</v>
      </c>
      <c r="L97" s="18">
        <v>512.01</v>
      </c>
      <c r="O97" s="26">
        <v>13.15</v>
      </c>
      <c r="R97" s="20" t="s">
        <v>30</v>
      </c>
    </row>
    <row r="98" spans="1:18" x14ac:dyDescent="0.3">
      <c r="A98" s="3">
        <v>150</v>
      </c>
      <c r="B98" s="3">
        <v>1000</v>
      </c>
      <c r="D98" s="2">
        <v>100</v>
      </c>
      <c r="E98" s="18">
        <v>33</v>
      </c>
      <c r="G98" s="2">
        <v>67</v>
      </c>
      <c r="H98" s="3">
        <v>150</v>
      </c>
      <c r="I98" s="3">
        <v>50</v>
      </c>
      <c r="O98" s="26">
        <v>13.15</v>
      </c>
      <c r="R98" s="20" t="s">
        <v>30</v>
      </c>
    </row>
    <row r="99" spans="1:18" x14ac:dyDescent="0.3">
      <c r="A99" s="3">
        <v>150</v>
      </c>
      <c r="B99" s="3">
        <v>1000</v>
      </c>
      <c r="D99" s="2">
        <v>120</v>
      </c>
      <c r="E99" s="18">
        <v>33</v>
      </c>
      <c r="G99" s="2">
        <v>67</v>
      </c>
      <c r="H99" s="3">
        <v>150</v>
      </c>
      <c r="I99" s="3">
        <v>41.7</v>
      </c>
      <c r="L99" s="18">
        <v>508.4</v>
      </c>
      <c r="O99" s="26">
        <v>13.15</v>
      </c>
      <c r="R99" s="20" t="s">
        <v>30</v>
      </c>
    </row>
    <row r="100" spans="1:18" x14ac:dyDescent="0.3">
      <c r="A100" s="3">
        <v>175</v>
      </c>
      <c r="B100" s="3">
        <v>600</v>
      </c>
      <c r="D100" s="2">
        <v>80</v>
      </c>
      <c r="E100" s="18">
        <v>33</v>
      </c>
      <c r="G100" s="2">
        <v>67</v>
      </c>
      <c r="H100" s="3">
        <v>291.66699999999997</v>
      </c>
      <c r="I100" s="3">
        <v>121.5</v>
      </c>
      <c r="L100" s="18">
        <v>478.8</v>
      </c>
      <c r="O100" s="26">
        <v>13.15</v>
      </c>
      <c r="R100" s="20" t="s">
        <v>30</v>
      </c>
    </row>
    <row r="101" spans="1:18" x14ac:dyDescent="0.3">
      <c r="A101" s="3">
        <v>175</v>
      </c>
      <c r="B101" s="3">
        <v>600</v>
      </c>
      <c r="D101" s="2">
        <v>100</v>
      </c>
      <c r="E101" s="18">
        <v>33</v>
      </c>
      <c r="G101" s="2">
        <v>67</v>
      </c>
      <c r="H101" s="3">
        <v>291.66699999999997</v>
      </c>
      <c r="I101" s="3">
        <v>97.2</v>
      </c>
      <c r="L101" s="18">
        <v>500.44</v>
      </c>
      <c r="O101" s="26">
        <v>13.15</v>
      </c>
      <c r="R101" s="20" t="s">
        <v>30</v>
      </c>
    </row>
    <row r="102" spans="1:18" x14ac:dyDescent="0.3">
      <c r="A102" s="3">
        <v>175</v>
      </c>
      <c r="B102" s="3">
        <v>600</v>
      </c>
      <c r="D102" s="2">
        <v>120</v>
      </c>
      <c r="E102" s="18">
        <v>33</v>
      </c>
      <c r="G102" s="2">
        <v>67</v>
      </c>
      <c r="H102" s="3">
        <v>291.66699999999997</v>
      </c>
      <c r="I102" s="3">
        <v>81</v>
      </c>
      <c r="L102" s="18">
        <v>517.9</v>
      </c>
      <c r="O102" s="26">
        <v>13.15</v>
      </c>
      <c r="R102" s="20" t="s">
        <v>30</v>
      </c>
    </row>
    <row r="103" spans="1:18" x14ac:dyDescent="0.3">
      <c r="A103" s="3">
        <v>175</v>
      </c>
      <c r="B103" s="3">
        <v>800</v>
      </c>
      <c r="D103" s="2">
        <v>80</v>
      </c>
      <c r="E103" s="18">
        <v>33</v>
      </c>
      <c r="G103" s="2">
        <v>67</v>
      </c>
      <c r="H103" s="3">
        <v>218.75</v>
      </c>
      <c r="I103" s="3">
        <v>91.1</v>
      </c>
      <c r="L103" s="18">
        <v>503.43</v>
      </c>
      <c r="O103" s="26">
        <v>13.15</v>
      </c>
      <c r="R103" s="20" t="s">
        <v>30</v>
      </c>
    </row>
    <row r="104" spans="1:18" x14ac:dyDescent="0.3">
      <c r="A104" s="3">
        <v>175</v>
      </c>
      <c r="B104" s="3">
        <v>800</v>
      </c>
      <c r="D104" s="2">
        <v>100</v>
      </c>
      <c r="E104" s="18">
        <v>33</v>
      </c>
      <c r="G104" s="2">
        <v>67</v>
      </c>
      <c r="H104" s="3">
        <v>218.75</v>
      </c>
      <c r="I104" s="3">
        <v>72.900000000000006</v>
      </c>
      <c r="L104" s="18">
        <v>517.5</v>
      </c>
      <c r="O104" s="26">
        <v>13.15</v>
      </c>
      <c r="R104" s="20" t="s">
        <v>30</v>
      </c>
    </row>
    <row r="105" spans="1:18" x14ac:dyDescent="0.3">
      <c r="A105" s="3">
        <v>175</v>
      </c>
      <c r="B105" s="3">
        <v>800</v>
      </c>
      <c r="D105" s="2">
        <v>120</v>
      </c>
      <c r="E105" s="18">
        <v>33</v>
      </c>
      <c r="G105" s="2">
        <v>67</v>
      </c>
      <c r="H105" s="3">
        <v>218.75</v>
      </c>
      <c r="I105" s="3">
        <v>60.8</v>
      </c>
      <c r="L105" s="18">
        <v>526.79999999999995</v>
      </c>
      <c r="O105" s="26">
        <v>13.15</v>
      </c>
      <c r="R105" s="20" t="s">
        <v>30</v>
      </c>
    </row>
    <row r="106" spans="1:18" x14ac:dyDescent="0.3">
      <c r="A106" s="3">
        <v>175</v>
      </c>
      <c r="B106" s="3">
        <v>1000</v>
      </c>
      <c r="D106" s="2">
        <v>80</v>
      </c>
      <c r="E106" s="18">
        <v>33</v>
      </c>
      <c r="G106" s="2">
        <v>67</v>
      </c>
      <c r="H106" s="3">
        <v>175</v>
      </c>
      <c r="I106" s="3">
        <v>72.900000000000006</v>
      </c>
      <c r="L106" s="18">
        <v>511.35</v>
      </c>
      <c r="O106" s="26">
        <v>13.15</v>
      </c>
      <c r="R106" s="20" t="s">
        <v>30</v>
      </c>
    </row>
    <row r="107" spans="1:18" x14ac:dyDescent="0.3">
      <c r="A107" s="3">
        <v>175</v>
      </c>
      <c r="B107" s="3">
        <v>1000</v>
      </c>
      <c r="D107" s="2">
        <v>100</v>
      </c>
      <c r="E107" s="18">
        <v>33</v>
      </c>
      <c r="G107" s="2">
        <v>67</v>
      </c>
      <c r="H107" s="3">
        <v>175</v>
      </c>
      <c r="I107" s="3">
        <v>58.3</v>
      </c>
      <c r="L107" s="18">
        <v>520.95000000000005</v>
      </c>
      <c r="O107" s="26">
        <v>13.15</v>
      </c>
      <c r="R107" s="20" t="s">
        <v>30</v>
      </c>
    </row>
    <row r="108" spans="1:18" x14ac:dyDescent="0.3">
      <c r="A108" s="3">
        <v>175</v>
      </c>
      <c r="B108" s="3">
        <v>1000</v>
      </c>
      <c r="D108" s="2">
        <v>120</v>
      </c>
      <c r="E108" s="18">
        <v>33</v>
      </c>
      <c r="G108" s="2">
        <v>67</v>
      </c>
      <c r="H108" s="3">
        <v>175</v>
      </c>
      <c r="I108" s="3">
        <v>48.6</v>
      </c>
      <c r="L108" s="18">
        <v>502.36</v>
      </c>
      <c r="O108" s="26">
        <v>13.15</v>
      </c>
      <c r="R108" s="20" t="s">
        <v>30</v>
      </c>
    </row>
    <row r="109" spans="1:18" x14ac:dyDescent="0.3">
      <c r="A109" s="3">
        <v>200</v>
      </c>
      <c r="B109" s="3">
        <v>600</v>
      </c>
      <c r="D109" s="2">
        <v>80</v>
      </c>
      <c r="E109" s="18">
        <v>33</v>
      </c>
      <c r="G109" s="2">
        <v>67</v>
      </c>
      <c r="H109" s="3">
        <v>333.33</v>
      </c>
      <c r="I109" s="3">
        <v>138.9</v>
      </c>
      <c r="L109" s="18">
        <v>457.26</v>
      </c>
      <c r="O109" s="26">
        <v>13.15</v>
      </c>
      <c r="R109" s="20" t="s">
        <v>30</v>
      </c>
    </row>
    <row r="110" spans="1:18" x14ac:dyDescent="0.3">
      <c r="A110" s="3">
        <v>200</v>
      </c>
      <c r="B110" s="3">
        <v>600</v>
      </c>
      <c r="D110" s="2">
        <v>100</v>
      </c>
      <c r="E110" s="18">
        <v>33</v>
      </c>
      <c r="G110" s="2">
        <v>67</v>
      </c>
      <c r="H110" s="3">
        <v>333.33</v>
      </c>
      <c r="I110" s="3">
        <v>111.1</v>
      </c>
      <c r="L110" s="18">
        <v>480.14</v>
      </c>
      <c r="O110" s="26">
        <v>13.15</v>
      </c>
      <c r="R110" s="20" t="s">
        <v>30</v>
      </c>
    </row>
    <row r="111" spans="1:18" x14ac:dyDescent="0.3">
      <c r="A111" s="3">
        <v>200</v>
      </c>
      <c r="B111" s="3">
        <v>600</v>
      </c>
      <c r="D111" s="2">
        <v>120</v>
      </c>
      <c r="E111" s="18">
        <v>33</v>
      </c>
      <c r="G111" s="2">
        <v>67</v>
      </c>
      <c r="H111" s="3">
        <v>333.33</v>
      </c>
      <c r="I111" s="3">
        <v>92.6</v>
      </c>
      <c r="L111" s="18">
        <v>485.67</v>
      </c>
      <c r="O111" s="26">
        <v>13.15</v>
      </c>
      <c r="R111" s="20" t="s">
        <v>30</v>
      </c>
    </row>
    <row r="112" spans="1:18" x14ac:dyDescent="0.3">
      <c r="A112" s="3">
        <v>200</v>
      </c>
      <c r="B112" s="3">
        <v>800</v>
      </c>
      <c r="D112" s="2">
        <v>80</v>
      </c>
      <c r="E112" s="18">
        <v>33</v>
      </c>
      <c r="G112" s="2">
        <v>67</v>
      </c>
      <c r="H112" s="3">
        <v>250</v>
      </c>
      <c r="I112" s="3">
        <v>104.2</v>
      </c>
      <c r="L112" s="18">
        <v>482.93</v>
      </c>
      <c r="O112" s="26">
        <v>13.15</v>
      </c>
      <c r="R112" s="20" t="s">
        <v>30</v>
      </c>
    </row>
    <row r="113" spans="1:18" x14ac:dyDescent="0.3">
      <c r="A113" s="3">
        <v>200</v>
      </c>
      <c r="B113" s="3">
        <v>800</v>
      </c>
      <c r="D113" s="2">
        <v>100</v>
      </c>
      <c r="E113" s="18">
        <v>33</v>
      </c>
      <c r="G113" s="2">
        <v>67</v>
      </c>
      <c r="H113" s="3">
        <v>250</v>
      </c>
      <c r="I113" s="3">
        <v>83.3</v>
      </c>
      <c r="L113" s="18">
        <v>497.67</v>
      </c>
      <c r="O113" s="26">
        <v>13.15</v>
      </c>
      <c r="R113" s="20" t="s">
        <v>30</v>
      </c>
    </row>
    <row r="114" spans="1:18" x14ac:dyDescent="0.3">
      <c r="A114" s="3">
        <v>200</v>
      </c>
      <c r="B114" s="3">
        <v>800</v>
      </c>
      <c r="D114" s="2">
        <v>120</v>
      </c>
      <c r="E114" s="18">
        <v>33</v>
      </c>
      <c r="G114" s="2">
        <v>67</v>
      </c>
      <c r="H114" s="3">
        <v>250</v>
      </c>
      <c r="I114" s="3">
        <v>69.400000000000006</v>
      </c>
      <c r="L114" s="18">
        <v>513.63</v>
      </c>
      <c r="O114" s="26">
        <v>13.15</v>
      </c>
      <c r="R114" s="20" t="s">
        <v>30</v>
      </c>
    </row>
    <row r="115" spans="1:18" x14ac:dyDescent="0.3">
      <c r="A115" s="3">
        <v>200</v>
      </c>
      <c r="B115" s="3">
        <v>1000</v>
      </c>
      <c r="D115" s="2">
        <v>80</v>
      </c>
      <c r="E115" s="18">
        <v>33</v>
      </c>
      <c r="G115" s="2">
        <v>67</v>
      </c>
      <c r="H115" s="3">
        <v>200</v>
      </c>
      <c r="I115" s="3">
        <v>83.3</v>
      </c>
      <c r="L115" s="18">
        <v>496.89</v>
      </c>
      <c r="O115" s="26">
        <v>13.15</v>
      </c>
      <c r="R115" s="20" t="s">
        <v>30</v>
      </c>
    </row>
    <row r="116" spans="1:18" x14ac:dyDescent="0.3">
      <c r="A116" s="3">
        <v>200</v>
      </c>
      <c r="B116" s="3">
        <v>1000</v>
      </c>
      <c r="D116" s="2">
        <v>100</v>
      </c>
      <c r="E116" s="18">
        <v>33</v>
      </c>
      <c r="G116" s="2">
        <v>67</v>
      </c>
      <c r="H116" s="3">
        <v>200</v>
      </c>
      <c r="I116" s="3">
        <v>66.7</v>
      </c>
      <c r="O116" s="26">
        <v>13.15</v>
      </c>
      <c r="R116" s="20" t="s">
        <v>30</v>
      </c>
    </row>
    <row r="117" spans="1:18" x14ac:dyDescent="0.3">
      <c r="A117" s="3">
        <v>200</v>
      </c>
      <c r="B117" s="3">
        <v>1000</v>
      </c>
      <c r="D117" s="2">
        <v>120</v>
      </c>
      <c r="E117" s="18">
        <v>33</v>
      </c>
      <c r="G117" s="2">
        <v>67</v>
      </c>
      <c r="H117" s="3">
        <v>200</v>
      </c>
      <c r="I117" s="3">
        <v>55.6</v>
      </c>
      <c r="L117" s="18">
        <v>528.28</v>
      </c>
      <c r="O117" s="26">
        <v>13.15</v>
      </c>
      <c r="R117" s="20" t="s">
        <v>30</v>
      </c>
    </row>
    <row r="118" spans="1:18" x14ac:dyDescent="0.3">
      <c r="A118" s="3">
        <v>225</v>
      </c>
      <c r="B118" s="3">
        <v>600</v>
      </c>
      <c r="D118" s="2">
        <v>80</v>
      </c>
      <c r="E118" s="18">
        <v>33</v>
      </c>
      <c r="G118" s="2">
        <v>67</v>
      </c>
      <c r="H118" s="3">
        <v>375</v>
      </c>
      <c r="I118" s="3">
        <v>156.30000000000001</v>
      </c>
      <c r="O118" s="26">
        <v>13.15</v>
      </c>
      <c r="R118" s="20" t="s">
        <v>30</v>
      </c>
    </row>
    <row r="119" spans="1:18" x14ac:dyDescent="0.3">
      <c r="A119" s="3">
        <v>225</v>
      </c>
      <c r="B119" s="3">
        <v>600</v>
      </c>
      <c r="D119" s="2">
        <v>100</v>
      </c>
      <c r="E119" s="18">
        <v>33</v>
      </c>
      <c r="G119" s="2">
        <v>67</v>
      </c>
      <c r="H119" s="3">
        <v>375</v>
      </c>
      <c r="I119" s="3">
        <v>125</v>
      </c>
      <c r="L119" s="18">
        <v>450.75</v>
      </c>
      <c r="O119" s="26">
        <v>13.15</v>
      </c>
      <c r="R119" s="20" t="s">
        <v>30</v>
      </c>
    </row>
    <row r="120" spans="1:18" x14ac:dyDescent="0.3">
      <c r="A120" s="3">
        <v>225</v>
      </c>
      <c r="B120" s="3">
        <v>600</v>
      </c>
      <c r="D120" s="2">
        <v>120</v>
      </c>
      <c r="E120" s="18">
        <v>33</v>
      </c>
      <c r="G120" s="2">
        <v>67</v>
      </c>
      <c r="H120" s="3">
        <v>375</v>
      </c>
      <c r="I120" s="3">
        <v>104.2</v>
      </c>
      <c r="L120" s="18">
        <v>463.78</v>
      </c>
      <c r="O120" s="26">
        <v>13.15</v>
      </c>
      <c r="R120" s="20" t="s">
        <v>30</v>
      </c>
    </row>
    <row r="121" spans="1:18" x14ac:dyDescent="0.3">
      <c r="A121" s="3">
        <v>225</v>
      </c>
      <c r="B121" s="3">
        <v>800</v>
      </c>
      <c r="D121" s="2">
        <v>80</v>
      </c>
      <c r="E121" s="18">
        <v>33</v>
      </c>
      <c r="G121" s="2">
        <v>67</v>
      </c>
      <c r="H121" s="3">
        <v>281.25</v>
      </c>
      <c r="I121" s="3">
        <v>117.2</v>
      </c>
      <c r="L121" s="18">
        <v>449.18</v>
      </c>
      <c r="O121" s="26">
        <v>13.15</v>
      </c>
      <c r="R121" s="20" t="s">
        <v>30</v>
      </c>
    </row>
    <row r="122" spans="1:18" x14ac:dyDescent="0.3">
      <c r="A122" s="3">
        <v>225</v>
      </c>
      <c r="B122" s="3">
        <v>800</v>
      </c>
      <c r="D122" s="2">
        <v>100</v>
      </c>
      <c r="E122" s="18">
        <v>33</v>
      </c>
      <c r="G122" s="2">
        <v>67</v>
      </c>
      <c r="H122" s="3">
        <v>281.25</v>
      </c>
      <c r="I122" s="3">
        <v>93.8</v>
      </c>
      <c r="L122" s="18">
        <v>485.52</v>
      </c>
      <c r="O122" s="26">
        <v>13.15</v>
      </c>
      <c r="R122" s="20" t="s">
        <v>30</v>
      </c>
    </row>
    <row r="123" spans="1:18" x14ac:dyDescent="0.3">
      <c r="A123" s="3">
        <v>225</v>
      </c>
      <c r="B123" s="3">
        <v>800</v>
      </c>
      <c r="D123" s="2">
        <v>120</v>
      </c>
      <c r="E123" s="18">
        <v>33</v>
      </c>
      <c r="G123" s="2">
        <v>67</v>
      </c>
      <c r="H123" s="3">
        <v>281.25</v>
      </c>
      <c r="I123" s="3">
        <v>78.099999999999994</v>
      </c>
      <c r="L123" s="18">
        <v>487.16</v>
      </c>
      <c r="O123" s="26">
        <v>13.15</v>
      </c>
      <c r="R123" s="20" t="s">
        <v>30</v>
      </c>
    </row>
    <row r="124" spans="1:18" x14ac:dyDescent="0.3">
      <c r="A124" s="3">
        <v>225</v>
      </c>
      <c r="B124" s="3">
        <v>100</v>
      </c>
      <c r="D124" s="2">
        <v>80</v>
      </c>
      <c r="E124" s="18">
        <v>33</v>
      </c>
      <c r="G124" s="2">
        <v>67</v>
      </c>
      <c r="H124" s="3">
        <v>225</v>
      </c>
      <c r="I124" s="3">
        <v>93.8</v>
      </c>
      <c r="L124" s="18">
        <v>490.42</v>
      </c>
      <c r="O124" s="26">
        <v>13.15</v>
      </c>
      <c r="R124" s="20" t="s">
        <v>30</v>
      </c>
    </row>
    <row r="125" spans="1:18" x14ac:dyDescent="0.3">
      <c r="A125" s="3">
        <v>225</v>
      </c>
      <c r="B125" s="3">
        <v>100</v>
      </c>
      <c r="D125" s="2">
        <v>100</v>
      </c>
      <c r="E125" s="18">
        <v>33</v>
      </c>
      <c r="G125" s="2">
        <v>67</v>
      </c>
      <c r="H125" s="3">
        <v>225</v>
      </c>
      <c r="I125" s="3">
        <v>75</v>
      </c>
      <c r="L125" s="18">
        <v>498.94</v>
      </c>
      <c r="O125" s="26">
        <v>13.15</v>
      </c>
      <c r="R125" s="20" t="s">
        <v>30</v>
      </c>
    </row>
    <row r="126" spans="1:18" x14ac:dyDescent="0.3">
      <c r="A126" s="3">
        <v>225</v>
      </c>
      <c r="B126" s="3">
        <v>100</v>
      </c>
      <c r="D126" s="2">
        <v>120</v>
      </c>
      <c r="E126" s="18">
        <v>33</v>
      </c>
      <c r="G126" s="2">
        <v>67</v>
      </c>
      <c r="H126" s="3">
        <v>225</v>
      </c>
      <c r="I126" s="3">
        <v>62.5</v>
      </c>
      <c r="O126" s="26">
        <v>13.15</v>
      </c>
      <c r="R126" s="20" t="s">
        <v>30</v>
      </c>
    </row>
    <row r="127" spans="1:18" x14ac:dyDescent="0.3">
      <c r="A127" s="3">
        <v>140</v>
      </c>
      <c r="B127" s="3">
        <v>700</v>
      </c>
      <c r="C127" s="18">
        <v>20</v>
      </c>
      <c r="D127" s="2">
        <v>80</v>
      </c>
      <c r="G127" s="2">
        <v>45</v>
      </c>
      <c r="H127" s="18">
        <v>200</v>
      </c>
      <c r="I127" s="3">
        <v>125</v>
      </c>
      <c r="J127" s="18" t="s">
        <v>23</v>
      </c>
      <c r="M127" s="18">
        <v>543.69000000000005</v>
      </c>
      <c r="N127" s="18">
        <v>87.92</v>
      </c>
      <c r="P127" s="18" t="s">
        <v>31</v>
      </c>
      <c r="Q127" s="18" t="s">
        <v>32</v>
      </c>
      <c r="R127" s="19" t="s">
        <v>33</v>
      </c>
    </row>
    <row r="128" spans="1:18" x14ac:dyDescent="0.3">
      <c r="A128" s="3">
        <v>160</v>
      </c>
      <c r="B128" s="3">
        <v>700</v>
      </c>
      <c r="C128" s="18">
        <v>20</v>
      </c>
      <c r="D128" s="2">
        <v>80</v>
      </c>
      <c r="G128" s="2">
        <v>45</v>
      </c>
      <c r="H128" s="18">
        <v>228.57</v>
      </c>
      <c r="I128" s="3">
        <v>142.85</v>
      </c>
      <c r="J128" s="18" t="s">
        <v>23</v>
      </c>
      <c r="M128" s="18">
        <v>497.9</v>
      </c>
      <c r="N128" s="18">
        <v>89.59</v>
      </c>
      <c r="P128" s="18" t="s">
        <v>31</v>
      </c>
      <c r="Q128" s="18" t="s">
        <v>32</v>
      </c>
      <c r="R128" s="19" t="s">
        <v>33</v>
      </c>
    </row>
    <row r="129" spans="1:18" x14ac:dyDescent="0.3">
      <c r="A129" s="3">
        <v>140</v>
      </c>
      <c r="B129" s="3">
        <v>900</v>
      </c>
      <c r="C129" s="18">
        <v>20</v>
      </c>
      <c r="D129" s="2">
        <v>80</v>
      </c>
      <c r="G129" s="2">
        <v>45</v>
      </c>
      <c r="H129" s="18">
        <v>155.55000000000001</v>
      </c>
      <c r="I129" s="3">
        <v>97.22</v>
      </c>
      <c r="J129" s="18" t="s">
        <v>23</v>
      </c>
      <c r="M129" s="18">
        <v>507.16</v>
      </c>
      <c r="N129" s="18">
        <v>96.28</v>
      </c>
      <c r="P129" s="18" t="s">
        <v>31</v>
      </c>
      <c r="Q129" s="18" t="s">
        <v>32</v>
      </c>
      <c r="R129" s="19" t="s">
        <v>33</v>
      </c>
    </row>
    <row r="130" spans="1:18" x14ac:dyDescent="0.3">
      <c r="A130" s="3">
        <v>160</v>
      </c>
      <c r="B130" s="3">
        <v>900</v>
      </c>
      <c r="C130" s="18">
        <v>20</v>
      </c>
      <c r="D130" s="2">
        <v>80</v>
      </c>
      <c r="G130" s="2">
        <v>45</v>
      </c>
      <c r="H130" s="18">
        <v>177.77</v>
      </c>
      <c r="I130" s="3">
        <v>111.11</v>
      </c>
      <c r="J130" s="18" t="s">
        <v>23</v>
      </c>
      <c r="M130" s="18">
        <v>590.96</v>
      </c>
      <c r="N130" s="18">
        <v>89.19</v>
      </c>
      <c r="P130" s="18" t="s">
        <v>31</v>
      </c>
      <c r="Q130" s="18" t="s">
        <v>32</v>
      </c>
      <c r="R130" s="19" t="s">
        <v>33</v>
      </c>
    </row>
    <row r="131" spans="1:18" x14ac:dyDescent="0.3">
      <c r="A131" s="3">
        <v>140</v>
      </c>
      <c r="B131" s="3">
        <v>700</v>
      </c>
      <c r="C131" s="18">
        <v>40</v>
      </c>
      <c r="D131" s="2">
        <v>80</v>
      </c>
      <c r="G131" s="2">
        <v>45</v>
      </c>
      <c r="H131" s="18">
        <v>200</v>
      </c>
      <c r="I131" s="18">
        <v>62.5</v>
      </c>
      <c r="J131" s="18" t="s">
        <v>23</v>
      </c>
      <c r="M131" s="18">
        <v>171.31</v>
      </c>
      <c r="N131" s="18">
        <v>86.31</v>
      </c>
      <c r="P131" s="18" t="s">
        <v>31</v>
      </c>
      <c r="Q131" s="18" t="s">
        <v>32</v>
      </c>
      <c r="R131" s="19" t="s">
        <v>33</v>
      </c>
    </row>
    <row r="132" spans="1:18" x14ac:dyDescent="0.3">
      <c r="A132" s="3">
        <v>160</v>
      </c>
      <c r="B132" s="3">
        <v>700</v>
      </c>
      <c r="C132" s="18">
        <v>40</v>
      </c>
      <c r="D132" s="2">
        <v>80</v>
      </c>
      <c r="G132" s="2">
        <v>45</v>
      </c>
      <c r="H132" s="18">
        <v>228.57</v>
      </c>
      <c r="I132" s="18">
        <v>71.42</v>
      </c>
      <c r="J132" s="18" t="s">
        <v>23</v>
      </c>
      <c r="M132" s="18">
        <v>449.16</v>
      </c>
      <c r="N132" s="18">
        <v>86.25</v>
      </c>
      <c r="P132" s="18" t="s">
        <v>31</v>
      </c>
      <c r="Q132" s="18" t="s">
        <v>32</v>
      </c>
      <c r="R132" s="19" t="s">
        <v>33</v>
      </c>
    </row>
    <row r="133" spans="1:18" x14ac:dyDescent="0.3">
      <c r="A133" s="3">
        <v>140</v>
      </c>
      <c r="B133" s="3">
        <v>900</v>
      </c>
      <c r="C133" s="18">
        <v>40</v>
      </c>
      <c r="D133" s="2">
        <v>80</v>
      </c>
      <c r="G133" s="2">
        <v>45</v>
      </c>
      <c r="H133" s="18">
        <v>155.55000000000001</v>
      </c>
      <c r="I133" s="18">
        <v>48.61</v>
      </c>
      <c r="J133" s="18" t="s">
        <v>23</v>
      </c>
      <c r="M133" s="18">
        <v>52.87</v>
      </c>
      <c r="N133" s="18">
        <v>75.8</v>
      </c>
      <c r="P133" s="18" t="s">
        <v>31</v>
      </c>
      <c r="Q133" s="18" t="s">
        <v>32</v>
      </c>
      <c r="R133" s="19" t="s">
        <v>33</v>
      </c>
    </row>
    <row r="134" spans="1:18" x14ac:dyDescent="0.3">
      <c r="A134" s="3">
        <v>160</v>
      </c>
      <c r="B134" s="3">
        <v>900</v>
      </c>
      <c r="C134" s="18">
        <v>40</v>
      </c>
      <c r="D134" s="2">
        <v>80</v>
      </c>
      <c r="G134" s="2">
        <v>45</v>
      </c>
      <c r="H134" s="18">
        <v>177.77</v>
      </c>
      <c r="I134" s="18">
        <v>55.55</v>
      </c>
      <c r="J134" s="18" t="s">
        <v>23</v>
      </c>
      <c r="M134" s="18">
        <v>202.25</v>
      </c>
      <c r="N134" s="18">
        <v>80.069999999999993</v>
      </c>
      <c r="P134" s="18" t="s">
        <v>31</v>
      </c>
      <c r="Q134" s="18" t="s">
        <v>32</v>
      </c>
      <c r="R134" s="19" t="s">
        <v>33</v>
      </c>
    </row>
    <row r="135" spans="1:18" x14ac:dyDescent="0.3">
      <c r="A135" s="3">
        <v>150</v>
      </c>
      <c r="B135" s="3">
        <v>700</v>
      </c>
      <c r="C135" s="18">
        <v>30</v>
      </c>
      <c r="D135" s="2">
        <v>70</v>
      </c>
      <c r="G135" s="2">
        <v>45</v>
      </c>
      <c r="H135" s="18">
        <v>214.28</v>
      </c>
      <c r="I135" s="18">
        <v>102.04</v>
      </c>
      <c r="J135" s="18" t="s">
        <v>23</v>
      </c>
      <c r="M135" s="18">
        <v>313.02999999999997</v>
      </c>
      <c r="N135" s="18">
        <v>85.95</v>
      </c>
      <c r="P135" s="18" t="s">
        <v>31</v>
      </c>
      <c r="Q135" s="18" t="s">
        <v>32</v>
      </c>
      <c r="R135" s="19" t="s">
        <v>33</v>
      </c>
    </row>
    <row r="136" spans="1:18" x14ac:dyDescent="0.3">
      <c r="A136" s="3">
        <v>150</v>
      </c>
      <c r="B136" s="3">
        <v>900</v>
      </c>
      <c r="C136" s="18">
        <v>30</v>
      </c>
      <c r="D136" s="2">
        <v>70</v>
      </c>
      <c r="G136" s="2">
        <v>45</v>
      </c>
      <c r="H136" s="18">
        <v>166.67</v>
      </c>
      <c r="I136" s="18">
        <v>79.36</v>
      </c>
      <c r="J136" s="18" t="s">
        <v>23</v>
      </c>
      <c r="M136" s="18">
        <v>129.84</v>
      </c>
      <c r="N136" s="18">
        <v>82.1</v>
      </c>
      <c r="P136" s="18" t="s">
        <v>31</v>
      </c>
      <c r="Q136" s="18" t="s">
        <v>32</v>
      </c>
      <c r="R136" s="19" t="s">
        <v>33</v>
      </c>
    </row>
    <row r="137" spans="1:18" x14ac:dyDescent="0.3">
      <c r="A137" s="3">
        <v>150</v>
      </c>
      <c r="B137" s="3">
        <v>700</v>
      </c>
      <c r="C137" s="18">
        <v>30</v>
      </c>
      <c r="D137" s="2">
        <v>90</v>
      </c>
      <c r="G137" s="2">
        <v>45</v>
      </c>
      <c r="H137" s="18">
        <v>214.28</v>
      </c>
      <c r="I137" s="18">
        <v>79.36</v>
      </c>
      <c r="J137" s="18" t="s">
        <v>23</v>
      </c>
      <c r="M137" s="18">
        <v>211.51</v>
      </c>
      <c r="N137" s="18">
        <v>82.17</v>
      </c>
      <c r="P137" s="18" t="s">
        <v>31</v>
      </c>
      <c r="Q137" s="18" t="s">
        <v>32</v>
      </c>
      <c r="R137" s="19" t="s">
        <v>33</v>
      </c>
    </row>
    <row r="138" spans="1:18" x14ac:dyDescent="0.3">
      <c r="A138" s="3">
        <v>150</v>
      </c>
      <c r="B138" s="3">
        <v>900</v>
      </c>
      <c r="C138" s="18">
        <v>30</v>
      </c>
      <c r="D138" s="2">
        <v>90</v>
      </c>
      <c r="G138" s="2">
        <v>45</v>
      </c>
      <c r="H138" s="18">
        <v>166.67</v>
      </c>
      <c r="I138" s="18">
        <v>61.72</v>
      </c>
      <c r="J138" s="18" t="s">
        <v>23</v>
      </c>
      <c r="M138" s="18">
        <v>138.41999999999999</v>
      </c>
      <c r="N138" s="18">
        <v>73.83</v>
      </c>
      <c r="P138" s="18" t="s">
        <v>31</v>
      </c>
      <c r="Q138" s="18" t="s">
        <v>32</v>
      </c>
      <c r="R138" s="19" t="s">
        <v>33</v>
      </c>
    </row>
    <row r="139" spans="1:18" x14ac:dyDescent="0.3">
      <c r="A139" s="3">
        <v>150</v>
      </c>
      <c r="B139" s="3">
        <v>700</v>
      </c>
      <c r="C139" s="18">
        <v>30</v>
      </c>
      <c r="D139" s="2">
        <v>70</v>
      </c>
      <c r="G139" s="2">
        <v>45</v>
      </c>
      <c r="H139" s="18">
        <v>214.28</v>
      </c>
      <c r="I139" s="18">
        <v>102.04</v>
      </c>
      <c r="J139" s="18" t="s">
        <v>23</v>
      </c>
      <c r="M139" s="18">
        <v>217.35</v>
      </c>
      <c r="N139" s="18">
        <v>86.09</v>
      </c>
      <c r="P139" s="18" t="s">
        <v>31</v>
      </c>
      <c r="Q139" s="18" t="s">
        <v>32</v>
      </c>
      <c r="R139" s="19" t="s">
        <v>33</v>
      </c>
    </row>
    <row r="140" spans="1:18" x14ac:dyDescent="0.3">
      <c r="A140" s="3">
        <v>150</v>
      </c>
      <c r="B140" s="3">
        <v>900</v>
      </c>
      <c r="C140" s="18">
        <v>30</v>
      </c>
      <c r="D140" s="2">
        <v>70</v>
      </c>
      <c r="G140" s="2">
        <v>45</v>
      </c>
      <c r="H140" s="18">
        <v>166.67</v>
      </c>
      <c r="I140" s="18">
        <v>79.36</v>
      </c>
      <c r="J140" s="18" t="s">
        <v>23</v>
      </c>
      <c r="M140" s="18">
        <v>169.67</v>
      </c>
      <c r="N140" s="18">
        <v>85.89</v>
      </c>
      <c r="P140" s="18" t="s">
        <v>31</v>
      </c>
      <c r="Q140" s="18" t="s">
        <v>32</v>
      </c>
      <c r="R140" s="19" t="s">
        <v>33</v>
      </c>
    </row>
    <row r="141" spans="1:18" x14ac:dyDescent="0.3">
      <c r="A141" s="3">
        <v>150</v>
      </c>
      <c r="B141" s="3">
        <v>700</v>
      </c>
      <c r="C141" s="18">
        <v>30</v>
      </c>
      <c r="D141" s="2">
        <v>90</v>
      </c>
      <c r="G141" s="2">
        <v>45</v>
      </c>
      <c r="H141" s="18">
        <v>214.28</v>
      </c>
      <c r="I141" s="18">
        <v>79.36</v>
      </c>
      <c r="J141" s="18" t="s">
        <v>23</v>
      </c>
      <c r="M141" s="18">
        <v>116.81</v>
      </c>
      <c r="N141" s="18">
        <v>82.67</v>
      </c>
      <c r="P141" s="18" t="s">
        <v>31</v>
      </c>
      <c r="Q141" s="18" t="s">
        <v>32</v>
      </c>
      <c r="R141" s="19" t="s">
        <v>33</v>
      </c>
    </row>
    <row r="142" spans="1:18" x14ac:dyDescent="0.3">
      <c r="A142" s="3">
        <v>150</v>
      </c>
      <c r="B142" s="3">
        <v>900</v>
      </c>
      <c r="C142" s="18">
        <v>30</v>
      </c>
      <c r="D142" s="2">
        <v>90</v>
      </c>
      <c r="G142" s="2">
        <v>45</v>
      </c>
      <c r="H142" s="18">
        <v>166.67</v>
      </c>
      <c r="I142" s="18">
        <v>61.72</v>
      </c>
      <c r="J142" s="18" t="s">
        <v>23</v>
      </c>
      <c r="M142" s="18">
        <v>103.16</v>
      </c>
      <c r="N142" s="18">
        <v>73.41</v>
      </c>
      <c r="P142" s="18" t="s">
        <v>31</v>
      </c>
      <c r="Q142" s="18" t="s">
        <v>32</v>
      </c>
      <c r="R142" s="19" t="s">
        <v>33</v>
      </c>
    </row>
    <row r="143" spans="1:18" x14ac:dyDescent="0.3">
      <c r="A143" s="3">
        <v>150</v>
      </c>
      <c r="B143" s="3">
        <v>800</v>
      </c>
      <c r="C143" s="18">
        <v>20</v>
      </c>
      <c r="D143" s="2">
        <v>70</v>
      </c>
      <c r="G143" s="2">
        <v>0</v>
      </c>
      <c r="H143" s="18">
        <v>187.5</v>
      </c>
      <c r="I143" s="18">
        <v>133.91999999999999</v>
      </c>
      <c r="J143" s="18" t="s">
        <v>23</v>
      </c>
      <c r="M143" s="18">
        <v>553.97</v>
      </c>
      <c r="N143" s="18">
        <v>89.49</v>
      </c>
      <c r="P143" s="18" t="s">
        <v>31</v>
      </c>
      <c r="Q143" s="18" t="s">
        <v>32</v>
      </c>
      <c r="R143" s="19" t="s">
        <v>33</v>
      </c>
    </row>
    <row r="144" spans="1:18" x14ac:dyDescent="0.3">
      <c r="A144" s="3">
        <v>150</v>
      </c>
      <c r="B144" s="3">
        <v>800</v>
      </c>
      <c r="C144" s="18">
        <v>20</v>
      </c>
      <c r="D144" s="2">
        <v>90</v>
      </c>
      <c r="G144" s="2">
        <v>0</v>
      </c>
      <c r="H144" s="18">
        <v>187.5</v>
      </c>
      <c r="I144" s="18">
        <v>104.16</v>
      </c>
      <c r="J144" s="18" t="s">
        <v>23</v>
      </c>
      <c r="M144" s="18">
        <v>536.03</v>
      </c>
      <c r="N144" s="18">
        <v>86.52</v>
      </c>
      <c r="P144" s="18" t="s">
        <v>31</v>
      </c>
      <c r="Q144" s="18" t="s">
        <v>32</v>
      </c>
      <c r="R144" s="19" t="s">
        <v>33</v>
      </c>
    </row>
    <row r="145" spans="1:18" x14ac:dyDescent="0.3">
      <c r="A145" s="3">
        <v>150</v>
      </c>
      <c r="B145" s="3">
        <v>800</v>
      </c>
      <c r="C145" s="18">
        <v>40</v>
      </c>
      <c r="D145" s="2">
        <v>70</v>
      </c>
      <c r="G145" s="2">
        <v>0</v>
      </c>
      <c r="H145" s="18">
        <v>187.5</v>
      </c>
      <c r="I145" s="18">
        <v>66.959999999999994</v>
      </c>
      <c r="J145" s="18" t="s">
        <v>23</v>
      </c>
      <c r="M145" s="18">
        <v>340.04</v>
      </c>
      <c r="N145" s="18">
        <v>73.78</v>
      </c>
      <c r="P145" s="18" t="s">
        <v>31</v>
      </c>
      <c r="Q145" s="18" t="s">
        <v>32</v>
      </c>
      <c r="R145" s="19" t="s">
        <v>33</v>
      </c>
    </row>
    <row r="146" spans="1:18" x14ac:dyDescent="0.3">
      <c r="A146" s="3">
        <v>150</v>
      </c>
      <c r="B146" s="3">
        <v>800</v>
      </c>
      <c r="C146" s="18">
        <v>40</v>
      </c>
      <c r="D146" s="2">
        <v>90</v>
      </c>
      <c r="G146" s="2">
        <v>0</v>
      </c>
      <c r="H146" s="18">
        <v>187.5</v>
      </c>
      <c r="I146" s="18">
        <v>52.08</v>
      </c>
      <c r="J146" s="18" t="s">
        <v>23</v>
      </c>
      <c r="M146" s="18">
        <v>293.14999999999998</v>
      </c>
      <c r="N146" s="18">
        <v>66.180000000000007</v>
      </c>
      <c r="P146" s="18" t="s">
        <v>31</v>
      </c>
      <c r="Q146" s="18" t="s">
        <v>32</v>
      </c>
      <c r="R146" s="19" t="s">
        <v>33</v>
      </c>
    </row>
    <row r="147" spans="1:18" x14ac:dyDescent="0.3">
      <c r="A147" s="3">
        <v>150</v>
      </c>
      <c r="B147" s="3">
        <v>800</v>
      </c>
      <c r="C147" s="18">
        <v>20</v>
      </c>
      <c r="D147" s="2">
        <v>70</v>
      </c>
      <c r="G147" s="2">
        <v>90</v>
      </c>
      <c r="H147" s="18">
        <v>187.5</v>
      </c>
      <c r="I147" s="18">
        <v>133.91999999999999</v>
      </c>
      <c r="J147" s="18" t="s">
        <v>23</v>
      </c>
      <c r="M147" s="18">
        <v>457.36</v>
      </c>
      <c r="N147" s="18">
        <v>88.29</v>
      </c>
      <c r="P147" s="18" t="s">
        <v>31</v>
      </c>
      <c r="Q147" s="18" t="s">
        <v>32</v>
      </c>
      <c r="R147" s="19" t="s">
        <v>33</v>
      </c>
    </row>
    <row r="148" spans="1:18" x14ac:dyDescent="0.3">
      <c r="A148" s="3">
        <v>150</v>
      </c>
      <c r="B148" s="3">
        <v>800</v>
      </c>
      <c r="C148" s="18">
        <v>20</v>
      </c>
      <c r="D148" s="2">
        <v>90</v>
      </c>
      <c r="G148" s="2">
        <v>90</v>
      </c>
      <c r="H148" s="18">
        <v>187.5</v>
      </c>
      <c r="I148" s="18">
        <v>104.16</v>
      </c>
      <c r="J148" s="18" t="s">
        <v>23</v>
      </c>
      <c r="M148" s="18">
        <v>484.48</v>
      </c>
      <c r="N148" s="18">
        <v>92.08</v>
      </c>
      <c r="P148" s="18" t="s">
        <v>31</v>
      </c>
      <c r="Q148" s="18" t="s">
        <v>32</v>
      </c>
      <c r="R148" s="19" t="s">
        <v>33</v>
      </c>
    </row>
    <row r="149" spans="1:18" x14ac:dyDescent="0.3">
      <c r="A149" s="3">
        <v>150</v>
      </c>
      <c r="B149" s="3">
        <v>800</v>
      </c>
      <c r="C149" s="18">
        <v>40</v>
      </c>
      <c r="D149" s="2">
        <v>70</v>
      </c>
      <c r="G149" s="2">
        <v>90</v>
      </c>
      <c r="H149" s="18">
        <v>187.5</v>
      </c>
      <c r="I149" s="18">
        <v>66.959999999999994</v>
      </c>
      <c r="J149" s="18" t="s">
        <v>23</v>
      </c>
      <c r="M149" s="18">
        <v>233.4</v>
      </c>
      <c r="N149" s="18">
        <v>89.11</v>
      </c>
      <c r="P149" s="18" t="s">
        <v>31</v>
      </c>
      <c r="Q149" s="18" t="s">
        <v>32</v>
      </c>
      <c r="R149" s="19" t="s">
        <v>33</v>
      </c>
    </row>
    <row r="150" spans="1:18" x14ac:dyDescent="0.3">
      <c r="A150" s="3">
        <v>150</v>
      </c>
      <c r="B150" s="3">
        <v>800</v>
      </c>
      <c r="C150" s="18">
        <v>40</v>
      </c>
      <c r="D150" s="2">
        <v>90</v>
      </c>
      <c r="G150" s="2">
        <v>90</v>
      </c>
      <c r="H150" s="18">
        <v>187.5</v>
      </c>
      <c r="I150" s="18">
        <v>52.03</v>
      </c>
      <c r="J150" s="18" t="s">
        <v>23</v>
      </c>
      <c r="M150" s="18">
        <v>221.49</v>
      </c>
      <c r="N150" s="18">
        <v>79.47</v>
      </c>
      <c r="P150" s="18" t="s">
        <v>31</v>
      </c>
      <c r="Q150" s="18" t="s">
        <v>32</v>
      </c>
      <c r="R150" s="19" t="s">
        <v>33</v>
      </c>
    </row>
    <row r="151" spans="1:18" x14ac:dyDescent="0.3">
      <c r="A151" s="3">
        <v>140</v>
      </c>
      <c r="B151" s="3">
        <v>800</v>
      </c>
      <c r="C151" s="18">
        <v>20</v>
      </c>
      <c r="D151" s="2">
        <v>80</v>
      </c>
      <c r="G151" s="2">
        <v>45</v>
      </c>
      <c r="H151" s="18">
        <v>175</v>
      </c>
      <c r="I151" s="18">
        <v>109.375</v>
      </c>
      <c r="J151" s="18" t="s">
        <v>23</v>
      </c>
      <c r="M151" s="18">
        <v>546.57000000000005</v>
      </c>
      <c r="N151" s="18">
        <v>90.17</v>
      </c>
      <c r="P151" s="18" t="s">
        <v>31</v>
      </c>
      <c r="Q151" s="18" t="s">
        <v>32</v>
      </c>
      <c r="R151" s="19" t="s">
        <v>33</v>
      </c>
    </row>
    <row r="152" spans="1:18" x14ac:dyDescent="0.3">
      <c r="A152" s="3">
        <v>160</v>
      </c>
      <c r="B152" s="3">
        <v>800</v>
      </c>
      <c r="C152" s="18">
        <v>20</v>
      </c>
      <c r="D152" s="2">
        <v>80</v>
      </c>
      <c r="G152" s="2">
        <v>45</v>
      </c>
      <c r="H152" s="18">
        <v>200</v>
      </c>
      <c r="I152" s="18">
        <v>125</v>
      </c>
      <c r="J152" s="18" t="s">
        <v>23</v>
      </c>
      <c r="M152" s="18">
        <v>565.66</v>
      </c>
      <c r="N152" s="18">
        <v>82.1</v>
      </c>
      <c r="P152" s="18" t="s">
        <v>31</v>
      </c>
      <c r="Q152" s="18" t="s">
        <v>32</v>
      </c>
      <c r="R152" s="19" t="s">
        <v>33</v>
      </c>
    </row>
    <row r="153" spans="1:18" x14ac:dyDescent="0.3">
      <c r="A153" s="3">
        <v>140</v>
      </c>
      <c r="B153" s="3">
        <v>800</v>
      </c>
      <c r="C153" s="18">
        <v>40</v>
      </c>
      <c r="D153" s="2">
        <v>80</v>
      </c>
      <c r="G153" s="2">
        <v>45</v>
      </c>
      <c r="H153" s="18">
        <v>175</v>
      </c>
      <c r="I153" s="18">
        <v>54.6875</v>
      </c>
      <c r="J153" s="18" t="s">
        <v>23</v>
      </c>
      <c r="M153" s="18">
        <v>72.06</v>
      </c>
      <c r="N153" s="18">
        <v>83.16</v>
      </c>
      <c r="P153" s="18" t="s">
        <v>31</v>
      </c>
      <c r="Q153" s="18" t="s">
        <v>32</v>
      </c>
      <c r="R153" s="19" t="s">
        <v>33</v>
      </c>
    </row>
    <row r="154" spans="1:18" x14ac:dyDescent="0.3">
      <c r="A154" s="3">
        <v>160</v>
      </c>
      <c r="B154" s="3">
        <v>800</v>
      </c>
      <c r="C154" s="18">
        <v>40</v>
      </c>
      <c r="D154" s="2">
        <v>80</v>
      </c>
      <c r="G154" s="2">
        <v>45</v>
      </c>
      <c r="H154" s="18">
        <v>200</v>
      </c>
      <c r="I154" s="18">
        <v>62.5</v>
      </c>
      <c r="J154" s="18" t="s">
        <v>23</v>
      </c>
      <c r="M154" s="18">
        <v>179.4</v>
      </c>
      <c r="N154" s="18">
        <v>87.64</v>
      </c>
      <c r="P154" s="18" t="s">
        <v>31</v>
      </c>
      <c r="Q154" s="18" t="s">
        <v>32</v>
      </c>
      <c r="R154" s="19" t="s">
        <v>33</v>
      </c>
    </row>
    <row r="155" spans="1:18" x14ac:dyDescent="0.3">
      <c r="A155" s="3">
        <v>140</v>
      </c>
      <c r="B155" s="3">
        <v>800</v>
      </c>
      <c r="C155" s="18">
        <v>20</v>
      </c>
      <c r="D155" s="2">
        <v>80</v>
      </c>
      <c r="G155" s="2">
        <v>45</v>
      </c>
      <c r="H155" s="18">
        <v>175</v>
      </c>
      <c r="I155" s="18">
        <v>109.37</v>
      </c>
      <c r="J155" s="18" t="s">
        <v>23</v>
      </c>
      <c r="M155" s="18">
        <v>540.82000000000005</v>
      </c>
      <c r="N155" s="18">
        <v>93.39</v>
      </c>
      <c r="P155" s="18" t="s">
        <v>31</v>
      </c>
      <c r="Q155" s="18" t="s">
        <v>32</v>
      </c>
      <c r="R155" s="19" t="s">
        <v>33</v>
      </c>
    </row>
    <row r="156" spans="1:18" x14ac:dyDescent="0.3">
      <c r="A156" s="3">
        <v>160</v>
      </c>
      <c r="B156" s="3">
        <v>800</v>
      </c>
      <c r="C156" s="18">
        <v>20</v>
      </c>
      <c r="D156" s="2">
        <v>80</v>
      </c>
      <c r="G156" s="2">
        <v>45</v>
      </c>
      <c r="H156" s="18">
        <v>200</v>
      </c>
      <c r="I156" s="18">
        <v>125</v>
      </c>
      <c r="J156" s="18" t="s">
        <v>23</v>
      </c>
      <c r="M156" s="18">
        <v>517.91999999999996</v>
      </c>
      <c r="N156" s="18">
        <v>95.04</v>
      </c>
      <c r="P156" s="18" t="s">
        <v>31</v>
      </c>
      <c r="Q156" s="18" t="s">
        <v>32</v>
      </c>
      <c r="R156" s="19" t="s">
        <v>33</v>
      </c>
    </row>
    <row r="157" spans="1:18" x14ac:dyDescent="0.3">
      <c r="A157" s="3">
        <v>140</v>
      </c>
      <c r="B157" s="3">
        <v>800</v>
      </c>
      <c r="C157" s="18">
        <v>40</v>
      </c>
      <c r="D157" s="2">
        <v>80</v>
      </c>
      <c r="G157" s="2">
        <v>45</v>
      </c>
      <c r="H157" s="18">
        <v>175</v>
      </c>
      <c r="I157" s="18">
        <v>54.68</v>
      </c>
      <c r="J157" s="18" t="s">
        <v>23</v>
      </c>
      <c r="M157" s="18">
        <v>90.66</v>
      </c>
      <c r="N157" s="18">
        <v>73.5</v>
      </c>
      <c r="P157" s="18" t="s">
        <v>31</v>
      </c>
      <c r="Q157" s="18" t="s">
        <v>32</v>
      </c>
      <c r="R157" s="19" t="s">
        <v>33</v>
      </c>
    </row>
    <row r="158" spans="1:18" x14ac:dyDescent="0.3">
      <c r="A158" s="3">
        <v>160</v>
      </c>
      <c r="B158" s="3">
        <v>800</v>
      </c>
      <c r="C158" s="18">
        <v>40</v>
      </c>
      <c r="D158" s="2">
        <v>80</v>
      </c>
      <c r="G158" s="2">
        <v>45</v>
      </c>
      <c r="H158" s="18">
        <v>200</v>
      </c>
      <c r="I158" s="18">
        <v>62.5</v>
      </c>
      <c r="J158" s="18" t="s">
        <v>23</v>
      </c>
      <c r="M158" s="18">
        <v>234.72</v>
      </c>
      <c r="N158" s="18">
        <v>77.03</v>
      </c>
      <c r="P158" s="18" t="s">
        <v>31</v>
      </c>
      <c r="Q158" s="18" t="s">
        <v>32</v>
      </c>
      <c r="R158" s="19" t="s">
        <v>33</v>
      </c>
    </row>
    <row r="159" spans="1:18" x14ac:dyDescent="0.3">
      <c r="A159" s="3">
        <v>150</v>
      </c>
      <c r="B159" s="3">
        <v>700</v>
      </c>
      <c r="C159" s="18">
        <v>30</v>
      </c>
      <c r="D159" s="2">
        <v>80</v>
      </c>
      <c r="G159" s="2">
        <v>0</v>
      </c>
      <c r="H159" s="18">
        <v>214.28</v>
      </c>
      <c r="I159" s="18">
        <v>89.28</v>
      </c>
      <c r="J159" s="18" t="s">
        <v>23</v>
      </c>
      <c r="M159" s="18">
        <v>419.23</v>
      </c>
      <c r="N159" s="18">
        <v>90.18</v>
      </c>
      <c r="P159" s="18" t="s">
        <v>31</v>
      </c>
      <c r="Q159" s="18" t="s">
        <v>32</v>
      </c>
      <c r="R159" s="19" t="s">
        <v>33</v>
      </c>
    </row>
    <row r="160" spans="1:18" x14ac:dyDescent="0.3">
      <c r="A160" s="3">
        <v>150</v>
      </c>
      <c r="B160" s="3">
        <v>900</v>
      </c>
      <c r="C160" s="18">
        <v>30</v>
      </c>
      <c r="D160" s="2">
        <v>80</v>
      </c>
      <c r="G160" s="2">
        <v>0</v>
      </c>
      <c r="H160" s="18">
        <v>166.67</v>
      </c>
      <c r="I160" s="18">
        <v>69.44</v>
      </c>
      <c r="J160" s="18" t="s">
        <v>23</v>
      </c>
      <c r="M160" s="18">
        <v>237.74</v>
      </c>
      <c r="N160" s="18">
        <v>86.38</v>
      </c>
      <c r="P160" s="18" t="s">
        <v>31</v>
      </c>
      <c r="Q160" s="18" t="s">
        <v>32</v>
      </c>
      <c r="R160" s="19" t="s">
        <v>33</v>
      </c>
    </row>
    <row r="161" spans="1:18" x14ac:dyDescent="0.3">
      <c r="A161" s="3">
        <v>150</v>
      </c>
      <c r="B161" s="3">
        <v>700</v>
      </c>
      <c r="C161" s="18">
        <v>30</v>
      </c>
      <c r="D161" s="2">
        <v>80</v>
      </c>
      <c r="G161" s="2">
        <v>0</v>
      </c>
      <c r="H161" s="18">
        <v>214.28</v>
      </c>
      <c r="I161" s="18">
        <v>89.28</v>
      </c>
      <c r="J161" s="18" t="s">
        <v>23</v>
      </c>
      <c r="M161" s="18">
        <v>550.22</v>
      </c>
      <c r="N161" s="18">
        <v>79.39</v>
      </c>
      <c r="P161" s="18" t="s">
        <v>31</v>
      </c>
      <c r="Q161" s="18" t="s">
        <v>32</v>
      </c>
      <c r="R161" s="19" t="s">
        <v>33</v>
      </c>
    </row>
    <row r="162" spans="1:18" x14ac:dyDescent="0.3">
      <c r="A162" s="3">
        <v>150</v>
      </c>
      <c r="B162" s="3">
        <v>900</v>
      </c>
      <c r="C162" s="18">
        <v>30</v>
      </c>
      <c r="D162" s="2">
        <v>80</v>
      </c>
      <c r="G162" s="2">
        <v>0</v>
      </c>
      <c r="H162" s="18">
        <v>166.67</v>
      </c>
      <c r="I162" s="18">
        <v>69.44</v>
      </c>
      <c r="J162" s="18" t="s">
        <v>23</v>
      </c>
      <c r="M162" s="18">
        <v>404.71</v>
      </c>
      <c r="N162" s="18">
        <v>80.95</v>
      </c>
      <c r="P162" s="18" t="s">
        <v>31</v>
      </c>
      <c r="Q162" s="18" t="s">
        <v>32</v>
      </c>
      <c r="R162" s="19" t="s">
        <v>33</v>
      </c>
    </row>
    <row r="163" spans="1:18" x14ac:dyDescent="0.3">
      <c r="A163" s="3">
        <v>150</v>
      </c>
      <c r="B163" s="3">
        <v>700</v>
      </c>
      <c r="C163" s="18">
        <v>30</v>
      </c>
      <c r="D163" s="2">
        <v>80</v>
      </c>
      <c r="G163" s="2">
        <v>90</v>
      </c>
      <c r="H163" s="18">
        <v>214.28</v>
      </c>
      <c r="I163" s="18">
        <v>89.28</v>
      </c>
      <c r="J163" s="18" t="s">
        <v>23</v>
      </c>
      <c r="M163" s="18">
        <v>365.37</v>
      </c>
      <c r="N163" s="18">
        <v>90.36</v>
      </c>
      <c r="P163" s="18" t="s">
        <v>31</v>
      </c>
      <c r="Q163" s="18" t="s">
        <v>32</v>
      </c>
      <c r="R163" s="19" t="s">
        <v>33</v>
      </c>
    </row>
    <row r="164" spans="1:18" x14ac:dyDescent="0.3">
      <c r="A164" s="3">
        <v>150</v>
      </c>
      <c r="B164" s="3">
        <v>900</v>
      </c>
      <c r="C164" s="18">
        <v>30</v>
      </c>
      <c r="D164" s="2">
        <v>80</v>
      </c>
      <c r="G164" s="2">
        <v>90</v>
      </c>
      <c r="H164" s="18">
        <v>166.67</v>
      </c>
      <c r="I164" s="18">
        <v>69.44</v>
      </c>
      <c r="J164" s="18" t="s">
        <v>23</v>
      </c>
      <c r="M164" s="18">
        <v>292.86</v>
      </c>
      <c r="N164" s="18">
        <v>82.7</v>
      </c>
      <c r="P164" s="18" t="s">
        <v>31</v>
      </c>
      <c r="Q164" s="18" t="s">
        <v>32</v>
      </c>
      <c r="R164" s="19" t="s">
        <v>33</v>
      </c>
    </row>
    <row r="165" spans="1:18" x14ac:dyDescent="0.3">
      <c r="A165" s="3">
        <v>150</v>
      </c>
      <c r="B165" s="3">
        <v>700</v>
      </c>
      <c r="C165" s="18">
        <v>30</v>
      </c>
      <c r="D165" s="2">
        <v>80</v>
      </c>
      <c r="G165" s="2">
        <v>90</v>
      </c>
      <c r="H165" s="18">
        <v>214.28</v>
      </c>
      <c r="I165" s="18">
        <v>89.28</v>
      </c>
      <c r="J165" s="18" t="s">
        <v>23</v>
      </c>
      <c r="M165" s="18">
        <v>330.01</v>
      </c>
      <c r="N165" s="18">
        <v>90.41</v>
      </c>
      <c r="P165" s="18" t="s">
        <v>31</v>
      </c>
      <c r="Q165" s="18" t="s">
        <v>32</v>
      </c>
      <c r="R165" s="19" t="s">
        <v>33</v>
      </c>
    </row>
    <row r="166" spans="1:18" x14ac:dyDescent="0.3">
      <c r="A166" s="3">
        <v>150</v>
      </c>
      <c r="B166" s="3">
        <v>900</v>
      </c>
      <c r="C166" s="18">
        <v>30</v>
      </c>
      <c r="D166" s="2">
        <v>80</v>
      </c>
      <c r="G166" s="2">
        <v>90</v>
      </c>
      <c r="H166" s="18">
        <v>166.67</v>
      </c>
      <c r="I166" s="18">
        <v>69.44</v>
      </c>
      <c r="J166" s="18" t="s">
        <v>23</v>
      </c>
      <c r="M166" s="18">
        <v>324.01</v>
      </c>
      <c r="N166" s="18">
        <v>87.71</v>
      </c>
      <c r="P166" s="18" t="s">
        <v>31</v>
      </c>
      <c r="Q166" s="18" t="s">
        <v>32</v>
      </c>
      <c r="R166" s="19" t="s">
        <v>33</v>
      </c>
    </row>
    <row r="167" spans="1:18" x14ac:dyDescent="0.3">
      <c r="A167" s="3">
        <v>140</v>
      </c>
      <c r="B167" s="3">
        <v>800</v>
      </c>
      <c r="C167" s="18">
        <v>30</v>
      </c>
      <c r="D167" s="2">
        <v>70</v>
      </c>
      <c r="G167" s="2">
        <v>0</v>
      </c>
      <c r="H167" s="18">
        <v>175</v>
      </c>
      <c r="I167" s="18">
        <v>83.33</v>
      </c>
      <c r="J167" s="18" t="s">
        <v>23</v>
      </c>
      <c r="M167" s="18">
        <v>421.77</v>
      </c>
      <c r="N167" s="18">
        <v>79.59</v>
      </c>
      <c r="P167" s="18" t="s">
        <v>31</v>
      </c>
      <c r="Q167" s="18" t="s">
        <v>32</v>
      </c>
      <c r="R167" s="19" t="s">
        <v>33</v>
      </c>
    </row>
    <row r="168" spans="1:18" x14ac:dyDescent="0.3">
      <c r="A168" s="3">
        <v>160</v>
      </c>
      <c r="B168" s="3">
        <v>800</v>
      </c>
      <c r="C168" s="18">
        <v>30</v>
      </c>
      <c r="D168" s="2">
        <v>70</v>
      </c>
      <c r="G168" s="2">
        <v>0</v>
      </c>
      <c r="H168" s="18">
        <v>200</v>
      </c>
      <c r="I168" s="18">
        <v>95.23</v>
      </c>
      <c r="J168" s="18" t="s">
        <v>23</v>
      </c>
      <c r="M168" s="18">
        <v>536.21</v>
      </c>
      <c r="N168" s="18">
        <v>87.11</v>
      </c>
      <c r="P168" s="18" t="s">
        <v>31</v>
      </c>
      <c r="Q168" s="18" t="s">
        <v>32</v>
      </c>
      <c r="R168" s="19" t="s">
        <v>33</v>
      </c>
    </row>
    <row r="169" spans="1:18" x14ac:dyDescent="0.3">
      <c r="A169" s="3">
        <v>140</v>
      </c>
      <c r="B169" s="3">
        <v>800</v>
      </c>
      <c r="C169" s="18">
        <v>30</v>
      </c>
      <c r="D169" s="2">
        <v>90</v>
      </c>
      <c r="G169" s="2">
        <v>0</v>
      </c>
      <c r="H169" s="18">
        <v>175</v>
      </c>
      <c r="I169" s="18">
        <v>64.81</v>
      </c>
      <c r="J169" s="18" t="s">
        <v>23</v>
      </c>
      <c r="M169" s="18">
        <v>512.41</v>
      </c>
      <c r="N169" s="18">
        <v>79.28</v>
      </c>
      <c r="P169" s="18" t="s">
        <v>31</v>
      </c>
      <c r="Q169" s="18" t="s">
        <v>32</v>
      </c>
      <c r="R169" s="19" t="s">
        <v>33</v>
      </c>
    </row>
    <row r="170" spans="1:18" x14ac:dyDescent="0.3">
      <c r="A170" s="3">
        <v>160</v>
      </c>
      <c r="B170" s="3">
        <v>800</v>
      </c>
      <c r="C170" s="18">
        <v>30</v>
      </c>
      <c r="D170" s="2">
        <v>90</v>
      </c>
      <c r="G170" s="2">
        <v>0</v>
      </c>
      <c r="H170" s="18">
        <v>200</v>
      </c>
      <c r="I170" s="18">
        <v>74.069999999999993</v>
      </c>
      <c r="J170" s="18" t="s">
        <v>23</v>
      </c>
      <c r="M170" s="18">
        <v>366.55</v>
      </c>
      <c r="N170" s="18">
        <v>68.650000000000006</v>
      </c>
      <c r="P170" s="18" t="s">
        <v>31</v>
      </c>
      <c r="Q170" s="18" t="s">
        <v>32</v>
      </c>
      <c r="R170" s="19" t="s">
        <v>33</v>
      </c>
    </row>
    <row r="171" spans="1:18" x14ac:dyDescent="0.3">
      <c r="A171" s="3">
        <v>140</v>
      </c>
      <c r="B171" s="3">
        <v>800</v>
      </c>
      <c r="C171" s="18">
        <v>30</v>
      </c>
      <c r="D171" s="2">
        <v>70</v>
      </c>
      <c r="G171" s="2">
        <v>90</v>
      </c>
      <c r="H171" s="18">
        <v>175</v>
      </c>
      <c r="I171" s="18">
        <v>83.33</v>
      </c>
      <c r="J171" s="18" t="s">
        <v>23</v>
      </c>
      <c r="M171" s="18">
        <v>327.83</v>
      </c>
      <c r="N171" s="18">
        <v>88.49</v>
      </c>
      <c r="P171" s="18" t="s">
        <v>31</v>
      </c>
      <c r="Q171" s="18" t="s">
        <v>32</v>
      </c>
      <c r="R171" s="19" t="s">
        <v>33</v>
      </c>
    </row>
    <row r="172" spans="1:18" x14ac:dyDescent="0.3">
      <c r="A172" s="3">
        <v>160</v>
      </c>
      <c r="B172" s="3">
        <v>800</v>
      </c>
      <c r="C172" s="18">
        <v>30</v>
      </c>
      <c r="D172" s="2">
        <v>70</v>
      </c>
      <c r="G172" s="2">
        <v>90</v>
      </c>
      <c r="H172" s="18">
        <v>200</v>
      </c>
      <c r="I172" s="18">
        <v>95.23</v>
      </c>
      <c r="J172" s="18" t="s">
        <v>23</v>
      </c>
      <c r="M172" s="18">
        <v>386.66</v>
      </c>
      <c r="N172" s="18">
        <v>89.06</v>
      </c>
      <c r="P172" s="18" t="s">
        <v>31</v>
      </c>
      <c r="Q172" s="18" t="s">
        <v>32</v>
      </c>
      <c r="R172" s="19" t="s">
        <v>33</v>
      </c>
    </row>
    <row r="173" spans="1:18" x14ac:dyDescent="0.3">
      <c r="A173" s="3">
        <v>140</v>
      </c>
      <c r="B173" s="3">
        <v>800</v>
      </c>
      <c r="C173" s="18">
        <v>30</v>
      </c>
      <c r="D173" s="2">
        <v>90</v>
      </c>
      <c r="G173" s="2">
        <v>90</v>
      </c>
      <c r="H173" s="18">
        <v>175</v>
      </c>
      <c r="I173" s="18">
        <v>64.81</v>
      </c>
      <c r="J173" s="18" t="s">
        <v>23</v>
      </c>
      <c r="M173" s="18">
        <v>266.27999999999997</v>
      </c>
      <c r="N173" s="18">
        <v>85.47</v>
      </c>
      <c r="P173" s="18" t="s">
        <v>31</v>
      </c>
      <c r="Q173" s="18" t="s">
        <v>32</v>
      </c>
      <c r="R173" s="19" t="s">
        <v>33</v>
      </c>
    </row>
    <row r="174" spans="1:18" x14ac:dyDescent="0.3">
      <c r="A174" s="3">
        <v>160</v>
      </c>
      <c r="B174" s="3">
        <v>800</v>
      </c>
      <c r="C174" s="18">
        <v>30</v>
      </c>
      <c r="D174" s="2">
        <v>90</v>
      </c>
      <c r="G174" s="2">
        <v>90</v>
      </c>
      <c r="H174" s="18">
        <v>200</v>
      </c>
      <c r="I174" s="18">
        <v>74.069999999999993</v>
      </c>
      <c r="J174" s="18" t="s">
        <v>23</v>
      </c>
      <c r="M174" s="18">
        <v>386.67</v>
      </c>
      <c r="N174" s="18">
        <v>72.59</v>
      </c>
      <c r="P174" s="18" t="s">
        <v>31</v>
      </c>
      <c r="Q174" s="18" t="s">
        <v>32</v>
      </c>
      <c r="R174" s="19" t="s">
        <v>33</v>
      </c>
    </row>
    <row r="175" spans="1:18" x14ac:dyDescent="0.3">
      <c r="A175" s="3">
        <v>150</v>
      </c>
      <c r="B175" s="3">
        <v>800</v>
      </c>
      <c r="C175" s="18">
        <v>30</v>
      </c>
      <c r="D175" s="2">
        <v>80</v>
      </c>
      <c r="G175" s="2">
        <v>45</v>
      </c>
      <c r="H175" s="18">
        <v>187.5</v>
      </c>
      <c r="I175" s="18">
        <v>78.125</v>
      </c>
      <c r="J175" s="18" t="s">
        <v>23</v>
      </c>
      <c r="M175" s="18">
        <v>181.02</v>
      </c>
      <c r="N175" s="18">
        <v>89.24</v>
      </c>
      <c r="P175" s="18" t="s">
        <v>31</v>
      </c>
      <c r="Q175" s="18" t="s">
        <v>32</v>
      </c>
      <c r="R175" s="19" t="s">
        <v>33</v>
      </c>
    </row>
    <row r="176" spans="1:18" x14ac:dyDescent="0.3">
      <c r="A176" s="3">
        <v>150</v>
      </c>
      <c r="B176" s="3">
        <v>800</v>
      </c>
      <c r="C176" s="18">
        <v>30</v>
      </c>
      <c r="D176" s="2">
        <v>80</v>
      </c>
      <c r="G176" s="2">
        <v>45</v>
      </c>
      <c r="H176" s="18">
        <v>187.5</v>
      </c>
      <c r="I176" s="18">
        <v>78.125</v>
      </c>
      <c r="J176" s="18" t="s">
        <v>23</v>
      </c>
      <c r="M176" s="18">
        <v>246.68</v>
      </c>
      <c r="N176" s="18">
        <v>86.38</v>
      </c>
      <c r="P176" s="18" t="s">
        <v>31</v>
      </c>
      <c r="Q176" s="18" t="s">
        <v>32</v>
      </c>
      <c r="R176" s="19" t="s">
        <v>33</v>
      </c>
    </row>
    <row r="177" spans="1:18" x14ac:dyDescent="0.3">
      <c r="A177" s="3">
        <v>150</v>
      </c>
      <c r="B177" s="3">
        <v>800</v>
      </c>
      <c r="C177" s="18">
        <v>30</v>
      </c>
      <c r="D177" s="2">
        <v>80</v>
      </c>
      <c r="G177" s="2">
        <v>45</v>
      </c>
      <c r="H177" s="18">
        <v>187.5</v>
      </c>
      <c r="I177" s="18">
        <v>78.125</v>
      </c>
      <c r="J177" s="18" t="s">
        <v>23</v>
      </c>
      <c r="M177" s="18">
        <v>195.18</v>
      </c>
      <c r="N177" s="18">
        <v>79.02</v>
      </c>
      <c r="P177" s="18" t="s">
        <v>31</v>
      </c>
      <c r="Q177" s="18" t="s">
        <v>32</v>
      </c>
      <c r="R177" s="19" t="s">
        <v>33</v>
      </c>
    </row>
    <row r="178" spans="1:18" x14ac:dyDescent="0.3">
      <c r="A178" s="3">
        <v>150</v>
      </c>
      <c r="B178" s="3">
        <v>800</v>
      </c>
      <c r="C178" s="18">
        <v>30</v>
      </c>
      <c r="D178" s="2">
        <v>80</v>
      </c>
      <c r="G178" s="2">
        <v>45</v>
      </c>
      <c r="H178" s="18">
        <v>187.5</v>
      </c>
      <c r="I178" s="18">
        <v>78.125</v>
      </c>
      <c r="J178" s="18" t="s">
        <v>23</v>
      </c>
      <c r="M178" s="18">
        <v>191.5</v>
      </c>
      <c r="N178" s="18">
        <v>81.2</v>
      </c>
      <c r="P178" s="18" t="s">
        <v>31</v>
      </c>
      <c r="Q178" s="18" t="s">
        <v>32</v>
      </c>
      <c r="R178" s="19" t="s">
        <v>33</v>
      </c>
    </row>
    <row r="179" spans="1:18" x14ac:dyDescent="0.3">
      <c r="A179" s="3">
        <v>150</v>
      </c>
      <c r="B179" s="3">
        <v>800</v>
      </c>
      <c r="C179" s="18">
        <v>30</v>
      </c>
      <c r="D179" s="2">
        <v>80</v>
      </c>
      <c r="G179" s="2">
        <v>45</v>
      </c>
      <c r="H179" s="18">
        <v>187.5</v>
      </c>
      <c r="I179" s="18">
        <v>78.125</v>
      </c>
      <c r="J179" s="18" t="s">
        <v>23</v>
      </c>
      <c r="M179" s="18">
        <v>152.35</v>
      </c>
      <c r="N179" s="18">
        <v>82.59</v>
      </c>
      <c r="P179" s="18" t="s">
        <v>31</v>
      </c>
      <c r="Q179" s="18" t="s">
        <v>32</v>
      </c>
      <c r="R179" s="19" t="s">
        <v>33</v>
      </c>
    </row>
    <row r="180" spans="1:18" x14ac:dyDescent="0.3">
      <c r="A180" s="3">
        <v>150</v>
      </c>
      <c r="B180" s="3">
        <v>800</v>
      </c>
      <c r="C180" s="18">
        <v>30</v>
      </c>
      <c r="D180" s="2">
        <v>80</v>
      </c>
      <c r="G180" s="2">
        <v>45</v>
      </c>
      <c r="H180" s="18">
        <v>187.5</v>
      </c>
      <c r="I180" s="18">
        <v>78.125</v>
      </c>
      <c r="J180" s="18" t="s">
        <v>23</v>
      </c>
      <c r="M180" s="18">
        <v>194.44</v>
      </c>
      <c r="N180" s="18">
        <v>85.1</v>
      </c>
      <c r="P180" s="18" t="s">
        <v>31</v>
      </c>
      <c r="Q180" s="18" t="s">
        <v>32</v>
      </c>
      <c r="R180" s="19" t="s">
        <v>33</v>
      </c>
    </row>
    <row r="181" spans="1:18" x14ac:dyDescent="0.3">
      <c r="A181" s="3">
        <v>100</v>
      </c>
      <c r="B181" s="3">
        <v>250</v>
      </c>
      <c r="C181" s="18">
        <v>50</v>
      </c>
      <c r="D181" s="2">
        <v>114</v>
      </c>
      <c r="E181" s="18">
        <v>200</v>
      </c>
      <c r="F181" s="18" t="s">
        <v>34</v>
      </c>
      <c r="H181" s="18">
        <v>400</v>
      </c>
      <c r="I181" s="18">
        <v>70</v>
      </c>
      <c r="K181" s="18">
        <v>215.65</v>
      </c>
      <c r="L181" s="18">
        <v>236.65</v>
      </c>
      <c r="M181" s="18">
        <v>375.13</v>
      </c>
      <c r="N181" s="18">
        <v>95.4</v>
      </c>
      <c r="O181" s="26" t="s">
        <v>35</v>
      </c>
      <c r="P181" s="18" t="s">
        <v>36</v>
      </c>
      <c r="Q181" s="18" t="s">
        <v>32</v>
      </c>
      <c r="R181" s="19" t="s">
        <v>37</v>
      </c>
    </row>
    <row r="182" spans="1:18" x14ac:dyDescent="0.3">
      <c r="A182" s="3">
        <v>100</v>
      </c>
      <c r="B182" s="3">
        <v>250</v>
      </c>
      <c r="C182" s="18">
        <v>50</v>
      </c>
      <c r="D182" s="2">
        <v>114</v>
      </c>
      <c r="E182" s="18">
        <v>200</v>
      </c>
      <c r="F182" s="18" t="s">
        <v>38</v>
      </c>
      <c r="H182" s="18">
        <v>400</v>
      </c>
      <c r="I182" s="18">
        <v>70</v>
      </c>
      <c r="K182" s="18">
        <v>192.27500000000001</v>
      </c>
      <c r="L182" s="18">
        <v>159.97</v>
      </c>
      <c r="M182" s="18">
        <v>196.78</v>
      </c>
      <c r="N182" s="18">
        <v>97.7</v>
      </c>
      <c r="O182" s="26" t="s">
        <v>35</v>
      </c>
      <c r="P182" s="18" t="s">
        <v>39</v>
      </c>
      <c r="Q182" s="18" t="s">
        <v>32</v>
      </c>
      <c r="R182" s="19" t="s">
        <v>37</v>
      </c>
    </row>
    <row r="183" spans="1:18" x14ac:dyDescent="0.3">
      <c r="A183" s="3">
        <v>100</v>
      </c>
      <c r="B183" s="3">
        <v>250</v>
      </c>
      <c r="C183" s="18">
        <v>50</v>
      </c>
      <c r="D183" s="2">
        <v>114</v>
      </c>
      <c r="E183" s="18">
        <v>200</v>
      </c>
      <c r="F183" s="18" t="s">
        <v>40</v>
      </c>
      <c r="H183" s="18">
        <v>400</v>
      </c>
      <c r="I183" s="18">
        <v>70</v>
      </c>
      <c r="K183" s="18">
        <v>187.95</v>
      </c>
      <c r="L183" s="18">
        <v>169.4</v>
      </c>
      <c r="M183" s="18">
        <v>199.47</v>
      </c>
      <c r="N183" s="18">
        <v>93.8</v>
      </c>
      <c r="O183" s="26" t="s">
        <v>35</v>
      </c>
      <c r="P183" s="18" t="s">
        <v>39</v>
      </c>
      <c r="Q183" s="18" t="s">
        <v>32</v>
      </c>
      <c r="R183" s="19" t="s">
        <v>37</v>
      </c>
    </row>
    <row r="184" spans="1:18" x14ac:dyDescent="0.3">
      <c r="A184" s="3">
        <v>100</v>
      </c>
      <c r="B184" s="3">
        <v>175</v>
      </c>
      <c r="C184" s="18">
        <v>50</v>
      </c>
      <c r="D184" s="2">
        <v>114</v>
      </c>
      <c r="E184" s="18">
        <v>200</v>
      </c>
      <c r="F184" s="18" t="s">
        <v>34</v>
      </c>
      <c r="H184" s="18">
        <v>571.41999999999996</v>
      </c>
      <c r="I184" s="18">
        <v>100</v>
      </c>
      <c r="K184" s="18">
        <v>219.4</v>
      </c>
      <c r="L184" s="18">
        <v>341.38</v>
      </c>
      <c r="M184" s="18">
        <v>459.58</v>
      </c>
      <c r="N184" s="18">
        <v>93.9</v>
      </c>
      <c r="O184" s="26" t="s">
        <v>41</v>
      </c>
      <c r="P184" s="18" t="s">
        <v>27</v>
      </c>
      <c r="Q184" s="18" t="s">
        <v>32</v>
      </c>
      <c r="R184" s="19" t="s">
        <v>37</v>
      </c>
    </row>
    <row r="185" spans="1:18" x14ac:dyDescent="0.3">
      <c r="A185" s="3">
        <v>100</v>
      </c>
      <c r="B185" s="3">
        <v>120</v>
      </c>
      <c r="C185" s="18">
        <v>50</v>
      </c>
      <c r="D185" s="2">
        <v>111</v>
      </c>
      <c r="E185" s="18">
        <v>200</v>
      </c>
      <c r="F185" s="18" t="s">
        <v>34</v>
      </c>
      <c r="H185" s="18">
        <v>833.33</v>
      </c>
      <c r="I185" s="18">
        <v>150</v>
      </c>
      <c r="K185" s="18">
        <v>189.1</v>
      </c>
      <c r="L185" s="18">
        <v>302.24</v>
      </c>
      <c r="M185" s="18">
        <v>384.5</v>
      </c>
      <c r="N185" s="18">
        <v>97.14</v>
      </c>
      <c r="O185" s="26" t="s">
        <v>41</v>
      </c>
      <c r="P185" s="18" t="s">
        <v>27</v>
      </c>
      <c r="Q185" s="18" t="s">
        <v>32</v>
      </c>
      <c r="R185" s="19" t="s">
        <v>37</v>
      </c>
    </row>
    <row r="186" spans="1:18" x14ac:dyDescent="0.3">
      <c r="A186" s="3">
        <v>100</v>
      </c>
      <c r="B186" s="3">
        <v>120</v>
      </c>
      <c r="C186" s="18">
        <v>50</v>
      </c>
      <c r="D186" s="2">
        <v>111</v>
      </c>
      <c r="E186" s="18">
        <v>200</v>
      </c>
      <c r="F186" s="18" t="s">
        <v>38</v>
      </c>
      <c r="H186" s="18">
        <v>833.33</v>
      </c>
      <c r="I186" s="18">
        <v>150</v>
      </c>
      <c r="K186" s="18">
        <v>190.05</v>
      </c>
      <c r="L186" s="18">
        <v>200.31</v>
      </c>
      <c r="M186" s="18">
        <v>278.13</v>
      </c>
      <c r="N186" s="18">
        <v>95.7</v>
      </c>
      <c r="O186" s="26" t="s">
        <v>42</v>
      </c>
      <c r="P186" s="18" t="s">
        <v>27</v>
      </c>
      <c r="Q186" s="18" t="s">
        <v>32</v>
      </c>
      <c r="R186" s="19" t="s">
        <v>37</v>
      </c>
    </row>
    <row r="187" spans="1:18" x14ac:dyDescent="0.3">
      <c r="A187" s="3">
        <v>100</v>
      </c>
      <c r="B187" s="3">
        <v>120</v>
      </c>
      <c r="C187" s="18">
        <v>50</v>
      </c>
      <c r="D187" s="2">
        <v>111</v>
      </c>
      <c r="E187" s="18">
        <v>200</v>
      </c>
      <c r="F187" s="18" t="s">
        <v>40</v>
      </c>
      <c r="H187" s="18">
        <v>833.33</v>
      </c>
      <c r="I187" s="18">
        <v>150</v>
      </c>
      <c r="K187" s="18">
        <v>186.55</v>
      </c>
      <c r="L187" s="18">
        <v>263.55</v>
      </c>
      <c r="M187" s="18">
        <v>356.84</v>
      </c>
      <c r="N187" s="18">
        <v>94.3</v>
      </c>
      <c r="O187" s="26" t="s">
        <v>43</v>
      </c>
      <c r="P187" s="18" t="s">
        <v>27</v>
      </c>
      <c r="Q187" s="18" t="s">
        <v>32</v>
      </c>
      <c r="R187" s="19" t="s">
        <v>37</v>
      </c>
    </row>
    <row r="188" spans="1:18" x14ac:dyDescent="0.3">
      <c r="A188" s="3">
        <v>100</v>
      </c>
      <c r="B188" s="3">
        <v>239</v>
      </c>
      <c r="C188" s="18">
        <v>50</v>
      </c>
      <c r="D188" s="2">
        <v>111</v>
      </c>
      <c r="E188" s="18">
        <v>200</v>
      </c>
      <c r="F188" s="18" t="s">
        <v>34</v>
      </c>
      <c r="H188" s="18">
        <v>418.41</v>
      </c>
      <c r="I188" s="18">
        <v>70</v>
      </c>
      <c r="K188" s="18">
        <v>216.35</v>
      </c>
      <c r="L188" s="18">
        <v>187.82</v>
      </c>
      <c r="M188" s="18">
        <v>269.95</v>
      </c>
      <c r="N188" s="18">
        <v>96.8</v>
      </c>
      <c r="O188" s="26" t="s">
        <v>44</v>
      </c>
      <c r="P188" s="18" t="s">
        <v>27</v>
      </c>
      <c r="Q188" s="18" t="s">
        <v>32</v>
      </c>
      <c r="R188" s="19" t="s">
        <v>37</v>
      </c>
    </row>
    <row r="189" spans="1:18" x14ac:dyDescent="0.3">
      <c r="A189" s="3">
        <v>100</v>
      </c>
      <c r="B189" s="3">
        <v>239</v>
      </c>
      <c r="C189" s="18">
        <v>50</v>
      </c>
      <c r="D189" s="2">
        <v>120</v>
      </c>
      <c r="E189" s="18">
        <v>200</v>
      </c>
      <c r="F189" s="18" t="s">
        <v>38</v>
      </c>
      <c r="H189" s="18">
        <v>418.41</v>
      </c>
      <c r="I189" s="18">
        <v>70</v>
      </c>
      <c r="K189" s="18">
        <v>178.1</v>
      </c>
      <c r="L189" s="18">
        <v>148.36000000000001</v>
      </c>
      <c r="M189" s="18">
        <v>178.37</v>
      </c>
      <c r="N189" s="18">
        <v>92.4</v>
      </c>
      <c r="O189" s="26" t="s">
        <v>41</v>
      </c>
      <c r="P189" s="18" t="s">
        <v>27</v>
      </c>
      <c r="Q189" s="18" t="s">
        <v>32</v>
      </c>
      <c r="R189" s="19" t="s">
        <v>37</v>
      </c>
    </row>
    <row r="190" spans="1:18" x14ac:dyDescent="0.3">
      <c r="A190" s="3">
        <v>100</v>
      </c>
      <c r="B190" s="3">
        <v>239</v>
      </c>
      <c r="C190" s="18">
        <v>50</v>
      </c>
      <c r="D190" s="2">
        <v>120</v>
      </c>
      <c r="E190" s="18">
        <v>200</v>
      </c>
      <c r="F190" s="18" t="s">
        <v>40</v>
      </c>
      <c r="H190" s="18">
        <v>418.41</v>
      </c>
      <c r="I190" s="18">
        <v>70</v>
      </c>
      <c r="K190" s="18">
        <v>176.35</v>
      </c>
      <c r="L190" s="18">
        <v>161.61000000000001</v>
      </c>
      <c r="M190" s="18">
        <v>198.47</v>
      </c>
      <c r="N190" s="18">
        <v>93.8</v>
      </c>
      <c r="O190" s="26" t="s">
        <v>45</v>
      </c>
      <c r="P190" s="18" t="s">
        <v>27</v>
      </c>
      <c r="Q190" s="18" t="s">
        <v>32</v>
      </c>
      <c r="R190" s="19" t="s">
        <v>37</v>
      </c>
    </row>
    <row r="191" spans="1:18" x14ac:dyDescent="0.3">
      <c r="A191" s="3">
        <v>100</v>
      </c>
      <c r="B191" s="3">
        <v>167</v>
      </c>
      <c r="C191" s="18">
        <v>50</v>
      </c>
      <c r="D191" s="2">
        <v>120</v>
      </c>
      <c r="E191" s="18">
        <v>200</v>
      </c>
      <c r="F191" s="18" t="s">
        <v>34</v>
      </c>
      <c r="H191" s="18">
        <v>598.79999999999995</v>
      </c>
      <c r="I191" s="18">
        <v>100</v>
      </c>
      <c r="K191" s="18">
        <v>182.8</v>
      </c>
      <c r="L191" s="18">
        <v>177.68</v>
      </c>
      <c r="M191" s="18">
        <v>203.48</v>
      </c>
      <c r="N191" s="18">
        <v>96.2</v>
      </c>
      <c r="O191" s="26" t="s">
        <v>46</v>
      </c>
      <c r="P191" s="18" t="s">
        <v>27</v>
      </c>
      <c r="Q191" s="18" t="s">
        <v>32</v>
      </c>
      <c r="R191" s="19" t="s">
        <v>37</v>
      </c>
    </row>
    <row r="192" spans="1:18" x14ac:dyDescent="0.3">
      <c r="A192" s="3">
        <v>100</v>
      </c>
      <c r="B192" s="3">
        <v>167</v>
      </c>
      <c r="C192" s="18">
        <v>50</v>
      </c>
      <c r="D192" s="2">
        <v>120</v>
      </c>
      <c r="E192" s="18">
        <v>200</v>
      </c>
      <c r="F192" s="18" t="s">
        <v>38</v>
      </c>
      <c r="H192" s="18">
        <v>598.79999999999995</v>
      </c>
      <c r="I192" s="18">
        <v>100</v>
      </c>
      <c r="K192" s="18">
        <v>184.1</v>
      </c>
      <c r="L192" s="18">
        <v>201.08</v>
      </c>
      <c r="M192" s="18">
        <v>239.34</v>
      </c>
      <c r="N192" s="18">
        <v>96.1</v>
      </c>
      <c r="O192" s="26" t="s">
        <v>45</v>
      </c>
      <c r="P192" s="18" t="s">
        <v>27</v>
      </c>
      <c r="Q192" s="18" t="s">
        <v>32</v>
      </c>
      <c r="R192" s="19" t="s">
        <v>37</v>
      </c>
    </row>
    <row r="193" spans="1:18" x14ac:dyDescent="0.3">
      <c r="A193" s="3">
        <v>100</v>
      </c>
      <c r="B193" s="3">
        <v>167</v>
      </c>
      <c r="C193" s="18">
        <v>50</v>
      </c>
      <c r="D193" s="2">
        <v>120</v>
      </c>
      <c r="E193" s="18">
        <v>200</v>
      </c>
      <c r="F193" s="18" t="s">
        <v>40</v>
      </c>
      <c r="H193" s="18">
        <v>598.79999999999995</v>
      </c>
      <c r="I193" s="18">
        <v>100</v>
      </c>
      <c r="K193" s="18">
        <v>188.05</v>
      </c>
      <c r="L193" s="18">
        <v>186.46</v>
      </c>
      <c r="M193" s="18">
        <v>256.68</v>
      </c>
      <c r="N193" s="18">
        <v>98</v>
      </c>
      <c r="O193" s="26" t="s">
        <v>46</v>
      </c>
      <c r="P193" s="18" t="s">
        <v>27</v>
      </c>
      <c r="Q193" s="18" t="s">
        <v>32</v>
      </c>
      <c r="R193" s="19" t="s">
        <v>37</v>
      </c>
    </row>
    <row r="194" spans="1:18" x14ac:dyDescent="0.3">
      <c r="A194" s="3">
        <v>100</v>
      </c>
      <c r="B194" s="3">
        <v>111</v>
      </c>
      <c r="C194" s="18">
        <v>50</v>
      </c>
      <c r="D194" s="2">
        <v>120</v>
      </c>
      <c r="E194" s="18">
        <v>200</v>
      </c>
      <c r="F194" s="18" t="s">
        <v>34</v>
      </c>
      <c r="H194" s="18">
        <v>900.9</v>
      </c>
      <c r="I194" s="18">
        <v>150</v>
      </c>
      <c r="K194" s="18">
        <v>223.4</v>
      </c>
      <c r="L194" s="18">
        <v>462.02</v>
      </c>
      <c r="M194" s="18">
        <v>584.44000000000005</v>
      </c>
      <c r="N194" s="18">
        <v>99.45</v>
      </c>
      <c r="O194" s="26" t="s">
        <v>42</v>
      </c>
      <c r="P194" s="18" t="s">
        <v>27</v>
      </c>
      <c r="Q194" s="18" t="s">
        <v>32</v>
      </c>
      <c r="R194" s="19" t="s">
        <v>37</v>
      </c>
    </row>
    <row r="195" spans="1:18" x14ac:dyDescent="0.3">
      <c r="A195" s="3">
        <v>100</v>
      </c>
      <c r="B195" s="3">
        <v>111</v>
      </c>
      <c r="C195" s="18">
        <v>50</v>
      </c>
      <c r="D195" s="2">
        <v>120</v>
      </c>
      <c r="E195" s="18">
        <v>200</v>
      </c>
      <c r="F195" s="18" t="s">
        <v>38</v>
      </c>
      <c r="H195" s="18">
        <v>900.9</v>
      </c>
      <c r="I195" s="18">
        <v>150</v>
      </c>
      <c r="K195" s="18">
        <v>184</v>
      </c>
      <c r="L195" s="18">
        <v>278.76</v>
      </c>
      <c r="M195" s="18">
        <v>342.23</v>
      </c>
      <c r="N195" s="18">
        <v>96.7</v>
      </c>
      <c r="O195" s="26" t="s">
        <v>47</v>
      </c>
      <c r="P195" s="18" t="s">
        <v>27</v>
      </c>
      <c r="Q195" s="18" t="s">
        <v>32</v>
      </c>
      <c r="R195" s="19" t="s">
        <v>37</v>
      </c>
    </row>
    <row r="196" spans="1:18" x14ac:dyDescent="0.3">
      <c r="A196" s="3">
        <v>100</v>
      </c>
      <c r="B196" s="3">
        <v>111</v>
      </c>
      <c r="C196" s="18">
        <v>50</v>
      </c>
      <c r="D196" s="2">
        <v>120</v>
      </c>
      <c r="E196" s="18">
        <v>200</v>
      </c>
      <c r="F196" s="18" t="s">
        <v>40</v>
      </c>
      <c r="H196" s="18">
        <v>900.9</v>
      </c>
      <c r="I196" s="18">
        <v>150</v>
      </c>
      <c r="K196" s="18">
        <v>187.7</v>
      </c>
      <c r="L196" s="18">
        <v>414.07</v>
      </c>
      <c r="M196" s="18">
        <v>530.37</v>
      </c>
      <c r="N196" s="18">
        <v>98.6</v>
      </c>
      <c r="O196" s="26" t="s">
        <v>48</v>
      </c>
      <c r="P196" s="18" t="s">
        <v>27</v>
      </c>
      <c r="Q196" s="18" t="s">
        <v>32</v>
      </c>
      <c r="R196" s="19" t="s">
        <v>37</v>
      </c>
    </row>
    <row r="197" spans="1:18" x14ac:dyDescent="0.3">
      <c r="A197" s="3">
        <v>150</v>
      </c>
      <c r="B197" s="3">
        <v>750</v>
      </c>
      <c r="C197" s="18">
        <v>300</v>
      </c>
      <c r="D197" s="2">
        <v>100</v>
      </c>
      <c r="E197" s="18">
        <v>100</v>
      </c>
      <c r="H197" s="18">
        <v>66.67</v>
      </c>
      <c r="I197" s="18">
        <v>66.67</v>
      </c>
      <c r="J197" s="18" t="s">
        <v>23</v>
      </c>
      <c r="K197" s="18">
        <v>233.8</v>
      </c>
      <c r="P197" s="18" t="s">
        <v>27</v>
      </c>
      <c r="Q197" s="18" t="s">
        <v>32</v>
      </c>
      <c r="R197" t="s">
        <v>49</v>
      </c>
    </row>
    <row r="198" spans="1:18" x14ac:dyDescent="0.3">
      <c r="A198" s="3">
        <v>150</v>
      </c>
      <c r="B198" s="3">
        <v>1250</v>
      </c>
      <c r="C198" s="18">
        <v>300</v>
      </c>
      <c r="D198" s="2">
        <v>100</v>
      </c>
      <c r="E198" s="18">
        <v>100</v>
      </c>
      <c r="H198" s="18">
        <v>28.57</v>
      </c>
      <c r="I198" s="18">
        <v>28.57</v>
      </c>
      <c r="J198" s="18" t="s">
        <v>23</v>
      </c>
      <c r="K198" s="18">
        <v>209.82</v>
      </c>
      <c r="P198" s="18" t="s">
        <v>27</v>
      </c>
      <c r="Q198" s="18" t="s">
        <v>32</v>
      </c>
      <c r="R198" t="s">
        <v>49</v>
      </c>
    </row>
    <row r="199" spans="1:18" x14ac:dyDescent="0.3">
      <c r="A199" s="3">
        <v>150</v>
      </c>
      <c r="B199" s="3">
        <v>250</v>
      </c>
      <c r="C199" s="18">
        <v>300</v>
      </c>
      <c r="D199" s="2">
        <v>140</v>
      </c>
      <c r="E199" s="18">
        <v>100</v>
      </c>
      <c r="H199" s="18">
        <v>142.86000000000001</v>
      </c>
      <c r="I199" s="18">
        <v>142.86000000000001</v>
      </c>
      <c r="J199" s="18" t="s">
        <v>23</v>
      </c>
      <c r="K199" s="18">
        <v>238.64</v>
      </c>
      <c r="P199" s="18" t="s">
        <v>27</v>
      </c>
      <c r="Q199" s="18" t="s">
        <v>32</v>
      </c>
      <c r="R199" t="s">
        <v>49</v>
      </c>
    </row>
    <row r="200" spans="1:18" x14ac:dyDescent="0.3">
      <c r="A200" s="3">
        <v>150</v>
      </c>
      <c r="B200" s="3">
        <v>1250</v>
      </c>
      <c r="C200" s="18">
        <v>300</v>
      </c>
      <c r="D200" s="2">
        <v>140</v>
      </c>
      <c r="E200" s="18">
        <v>100</v>
      </c>
      <c r="H200" s="18">
        <v>28.57</v>
      </c>
      <c r="I200" s="18">
        <v>28.57</v>
      </c>
      <c r="J200" s="18" t="s">
        <v>23</v>
      </c>
      <c r="K200" s="18">
        <v>208.7</v>
      </c>
      <c r="P200" s="18" t="s">
        <v>27</v>
      </c>
      <c r="Q200" s="18" t="s">
        <v>32</v>
      </c>
      <c r="R200" t="s">
        <v>49</v>
      </c>
    </row>
    <row r="201" spans="1:18" x14ac:dyDescent="0.3">
      <c r="A201" s="3">
        <v>150</v>
      </c>
      <c r="B201" s="3">
        <v>1750</v>
      </c>
      <c r="C201" s="18">
        <v>300</v>
      </c>
      <c r="D201" s="2">
        <v>140</v>
      </c>
      <c r="E201" s="18">
        <v>100</v>
      </c>
      <c r="H201" s="18">
        <v>20.41</v>
      </c>
      <c r="I201" s="18">
        <v>20.41</v>
      </c>
      <c r="J201" s="18" t="s">
        <v>23</v>
      </c>
      <c r="K201" s="18">
        <v>230.1</v>
      </c>
      <c r="P201" s="18" t="s">
        <v>27</v>
      </c>
      <c r="Q201" s="18" t="s">
        <v>32</v>
      </c>
      <c r="R201" t="s">
        <v>49</v>
      </c>
    </row>
    <row r="202" spans="1:18" x14ac:dyDescent="0.3">
      <c r="A202" s="3">
        <v>200</v>
      </c>
      <c r="B202" s="3">
        <v>750</v>
      </c>
      <c r="C202" s="18">
        <v>300</v>
      </c>
      <c r="D202" s="2">
        <v>80</v>
      </c>
      <c r="E202" s="18">
        <v>100</v>
      </c>
      <c r="H202" s="18">
        <v>111.11</v>
      </c>
      <c r="I202" s="18">
        <v>111.11</v>
      </c>
      <c r="J202" s="18" t="s">
        <v>23</v>
      </c>
      <c r="K202" s="18">
        <v>234.1</v>
      </c>
      <c r="P202" s="18" t="s">
        <v>27</v>
      </c>
      <c r="Q202" s="18" t="s">
        <v>32</v>
      </c>
      <c r="R202" t="s">
        <v>49</v>
      </c>
    </row>
    <row r="203" spans="1:18" x14ac:dyDescent="0.3">
      <c r="A203" s="3">
        <v>200</v>
      </c>
      <c r="B203" s="3">
        <v>1250</v>
      </c>
      <c r="C203" s="18">
        <v>300</v>
      </c>
      <c r="D203" s="2">
        <v>80</v>
      </c>
      <c r="E203" s="18">
        <v>100</v>
      </c>
      <c r="H203" s="18">
        <v>66.67</v>
      </c>
      <c r="I203" s="18">
        <v>66.67</v>
      </c>
      <c r="J203" s="18" t="s">
        <v>23</v>
      </c>
      <c r="K203" s="18">
        <v>241</v>
      </c>
      <c r="P203" s="18" t="s">
        <v>27</v>
      </c>
      <c r="Q203" s="18" t="s">
        <v>32</v>
      </c>
      <c r="R203" t="s">
        <v>49</v>
      </c>
    </row>
    <row r="204" spans="1:18" x14ac:dyDescent="0.3">
      <c r="A204" s="3">
        <v>200</v>
      </c>
      <c r="B204" s="3">
        <v>750</v>
      </c>
      <c r="C204" s="18">
        <v>300</v>
      </c>
      <c r="D204" s="2">
        <v>100</v>
      </c>
      <c r="E204" s="18">
        <v>100</v>
      </c>
      <c r="H204" s="18">
        <v>88.89</v>
      </c>
      <c r="I204" s="18">
        <v>88.89</v>
      </c>
      <c r="J204" s="18" t="s">
        <v>23</v>
      </c>
      <c r="K204" s="18">
        <v>236.1</v>
      </c>
      <c r="P204" s="18" t="s">
        <v>27</v>
      </c>
      <c r="Q204" s="18" t="s">
        <v>32</v>
      </c>
      <c r="R204" t="s">
        <v>49</v>
      </c>
    </row>
    <row r="205" spans="1:18" x14ac:dyDescent="0.3">
      <c r="A205" s="3">
        <v>200</v>
      </c>
      <c r="B205" s="3">
        <v>1250</v>
      </c>
      <c r="C205" s="18">
        <v>300</v>
      </c>
      <c r="D205" s="2">
        <v>120</v>
      </c>
      <c r="E205" s="18">
        <v>100</v>
      </c>
      <c r="H205" s="18">
        <v>44.44</v>
      </c>
      <c r="I205" s="18">
        <v>44.44</v>
      </c>
      <c r="J205" s="18" t="s">
        <v>23</v>
      </c>
      <c r="K205" s="18">
        <v>235.1</v>
      </c>
      <c r="P205" s="18" t="s">
        <v>27</v>
      </c>
      <c r="Q205" s="18" t="s">
        <v>32</v>
      </c>
      <c r="R205" t="s">
        <v>49</v>
      </c>
    </row>
    <row r="206" spans="1:18" x14ac:dyDescent="0.3">
      <c r="A206" s="3">
        <v>200</v>
      </c>
      <c r="B206" s="3">
        <v>750</v>
      </c>
      <c r="C206" s="18">
        <v>300</v>
      </c>
      <c r="D206" s="2">
        <v>140</v>
      </c>
      <c r="E206" s="18">
        <v>100</v>
      </c>
      <c r="H206" s="18">
        <v>63.49</v>
      </c>
      <c r="I206" s="18">
        <v>63.49</v>
      </c>
      <c r="J206" s="18" t="s">
        <v>23</v>
      </c>
      <c r="K206" s="18">
        <v>240.1</v>
      </c>
      <c r="P206" s="18" t="s">
        <v>27</v>
      </c>
      <c r="Q206" s="18" t="s">
        <v>32</v>
      </c>
      <c r="R206" t="s">
        <v>49</v>
      </c>
    </row>
    <row r="207" spans="1:18" x14ac:dyDescent="0.3">
      <c r="A207" s="3">
        <v>250</v>
      </c>
      <c r="B207" s="3">
        <v>1250</v>
      </c>
      <c r="C207" s="18">
        <v>300</v>
      </c>
      <c r="D207" s="2">
        <v>80</v>
      </c>
      <c r="E207" s="18">
        <v>100</v>
      </c>
      <c r="H207" s="18">
        <v>83.33</v>
      </c>
      <c r="I207" s="18">
        <v>83.33</v>
      </c>
      <c r="J207" s="18" t="s">
        <v>23</v>
      </c>
      <c r="K207" s="18">
        <v>233.42</v>
      </c>
      <c r="P207" s="18" t="s">
        <v>27</v>
      </c>
      <c r="Q207" s="18" t="s">
        <v>32</v>
      </c>
      <c r="R207" t="s">
        <v>49</v>
      </c>
    </row>
    <row r="208" spans="1:18" x14ac:dyDescent="0.3">
      <c r="A208" s="3">
        <v>250</v>
      </c>
      <c r="B208" s="3">
        <v>1250</v>
      </c>
      <c r="C208" s="18">
        <v>300</v>
      </c>
      <c r="D208" s="2">
        <v>120</v>
      </c>
      <c r="E208" s="18">
        <v>100</v>
      </c>
      <c r="H208" s="18">
        <v>55.56</v>
      </c>
      <c r="I208" s="18">
        <v>55.56</v>
      </c>
      <c r="J208" s="18" t="s">
        <v>23</v>
      </c>
      <c r="K208" s="18">
        <v>231</v>
      </c>
      <c r="P208" s="18" t="s">
        <v>27</v>
      </c>
      <c r="Q208" s="18" t="s">
        <v>32</v>
      </c>
      <c r="R208" t="s">
        <v>49</v>
      </c>
    </row>
    <row r="209" spans="1:18" x14ac:dyDescent="0.3">
      <c r="A209" s="3">
        <v>250</v>
      </c>
      <c r="B209" s="3">
        <v>1750</v>
      </c>
      <c r="C209" s="18">
        <v>300</v>
      </c>
      <c r="D209" s="2">
        <v>120</v>
      </c>
      <c r="E209" s="18">
        <v>100</v>
      </c>
      <c r="H209" s="18">
        <v>39.68</v>
      </c>
      <c r="I209" s="18">
        <v>39.68</v>
      </c>
      <c r="J209" s="18" t="s">
        <v>23</v>
      </c>
      <c r="K209" s="18">
        <v>224.8</v>
      </c>
      <c r="P209" s="18" t="s">
        <v>27</v>
      </c>
      <c r="Q209" s="18" t="s">
        <v>32</v>
      </c>
      <c r="R209" t="s">
        <v>49</v>
      </c>
    </row>
    <row r="210" spans="1:18" x14ac:dyDescent="0.3">
      <c r="A210" s="3">
        <v>250</v>
      </c>
      <c r="B210" s="3">
        <v>750</v>
      </c>
      <c r="C210" s="18">
        <v>300</v>
      </c>
      <c r="D210" s="2">
        <v>140</v>
      </c>
      <c r="E210" s="18">
        <v>100</v>
      </c>
      <c r="H210" s="18">
        <v>79.37</v>
      </c>
      <c r="I210" s="18">
        <v>79.37</v>
      </c>
      <c r="J210" s="18" t="s">
        <v>23</v>
      </c>
      <c r="K210" s="18">
        <v>236.5</v>
      </c>
      <c r="P210" s="18" t="s">
        <v>27</v>
      </c>
      <c r="Q210" s="18" t="s">
        <v>32</v>
      </c>
      <c r="R210" t="s">
        <v>49</v>
      </c>
    </row>
    <row r="211" spans="1:18" x14ac:dyDescent="0.3">
      <c r="A211" s="3">
        <v>250</v>
      </c>
      <c r="B211" s="3">
        <v>1750</v>
      </c>
      <c r="C211" s="18">
        <v>300</v>
      </c>
      <c r="D211" s="2">
        <v>140</v>
      </c>
      <c r="E211" s="18">
        <v>100</v>
      </c>
      <c r="H211" s="18">
        <v>34.01</v>
      </c>
      <c r="I211" s="18">
        <v>34.01</v>
      </c>
      <c r="J211" s="18" t="s">
        <v>23</v>
      </c>
      <c r="K211" s="18">
        <v>227</v>
      </c>
      <c r="P211" s="18" t="s">
        <v>27</v>
      </c>
      <c r="Q211" s="18" t="s">
        <v>32</v>
      </c>
      <c r="R211" t="s">
        <v>49</v>
      </c>
    </row>
    <row r="212" spans="1:18" x14ac:dyDescent="0.3">
      <c r="A212" s="3">
        <v>180.4</v>
      </c>
      <c r="B212" s="3">
        <v>821.6</v>
      </c>
      <c r="C212" s="18" t="s">
        <v>50</v>
      </c>
      <c r="D212" s="2">
        <v>72.2</v>
      </c>
      <c r="H212" s="18">
        <f>((A212/B212)*1000)</f>
        <v>219.57156767283351</v>
      </c>
      <c r="J212" s="18" t="s">
        <v>23</v>
      </c>
      <c r="N212" s="18">
        <v>98.31</v>
      </c>
      <c r="R212" s="19" t="s">
        <v>51</v>
      </c>
    </row>
    <row r="213" spans="1:18" x14ac:dyDescent="0.3">
      <c r="A213" s="3">
        <v>269.60000000000002</v>
      </c>
      <c r="B213" s="3">
        <v>821.6</v>
      </c>
      <c r="C213" s="18" t="s">
        <v>50</v>
      </c>
      <c r="D213" s="2">
        <v>72.2</v>
      </c>
      <c r="H213" s="18">
        <f t="shared" ref="H213:H231" si="2">((A213/B213)*1000)</f>
        <v>328.14021421616366</v>
      </c>
      <c r="J213" s="18" t="s">
        <v>23</v>
      </c>
      <c r="N213" s="18">
        <v>98.62</v>
      </c>
      <c r="R213" s="19" t="s">
        <v>51</v>
      </c>
    </row>
    <row r="214" spans="1:18" x14ac:dyDescent="0.3">
      <c r="A214" s="3">
        <v>180.4</v>
      </c>
      <c r="B214" s="3">
        <v>1178.4000000000001</v>
      </c>
      <c r="C214" s="18" t="s">
        <v>50</v>
      </c>
      <c r="D214" s="2">
        <v>72.2</v>
      </c>
      <c r="H214" s="18">
        <f t="shared" si="2"/>
        <v>153.08893414799729</v>
      </c>
      <c r="J214" s="18" t="s">
        <v>23</v>
      </c>
      <c r="N214" s="18">
        <v>98.25</v>
      </c>
      <c r="R214" s="19" t="s">
        <v>51</v>
      </c>
    </row>
    <row r="215" spans="1:18" x14ac:dyDescent="0.3">
      <c r="A215" s="3">
        <v>269.60000000000002</v>
      </c>
      <c r="B215" s="3">
        <v>1178.4000000000001</v>
      </c>
      <c r="C215" s="18" t="s">
        <v>50</v>
      </c>
      <c r="D215" s="2">
        <v>72.2</v>
      </c>
      <c r="H215" s="18">
        <f t="shared" si="2"/>
        <v>228.78479293957909</v>
      </c>
      <c r="J215" s="18" t="s">
        <v>23</v>
      </c>
      <c r="N215" s="18">
        <v>98.63</v>
      </c>
      <c r="R215" s="19" t="s">
        <v>51</v>
      </c>
    </row>
    <row r="216" spans="1:18" x14ac:dyDescent="0.3">
      <c r="A216" s="3">
        <v>180.4</v>
      </c>
      <c r="B216" s="3">
        <v>821.6</v>
      </c>
      <c r="C216" s="18" t="s">
        <v>50</v>
      </c>
      <c r="D216" s="2">
        <v>107.8</v>
      </c>
      <c r="H216" s="18">
        <f t="shared" si="2"/>
        <v>219.57156767283351</v>
      </c>
      <c r="J216" s="18" t="s">
        <v>23</v>
      </c>
      <c r="N216" s="18">
        <v>98.61</v>
      </c>
      <c r="R216" s="19" t="s">
        <v>51</v>
      </c>
    </row>
    <row r="217" spans="1:18" x14ac:dyDescent="0.3">
      <c r="A217" s="3">
        <v>269.60000000000002</v>
      </c>
      <c r="B217" s="3">
        <v>821.6</v>
      </c>
      <c r="C217" s="18" t="s">
        <v>50</v>
      </c>
      <c r="D217" s="2">
        <v>107.8</v>
      </c>
      <c r="H217" s="18">
        <f t="shared" si="2"/>
        <v>328.14021421616366</v>
      </c>
      <c r="J217" s="18" t="s">
        <v>23</v>
      </c>
      <c r="N217" s="18">
        <v>98.53</v>
      </c>
      <c r="R217" t="s">
        <v>51</v>
      </c>
    </row>
    <row r="218" spans="1:18" x14ac:dyDescent="0.3">
      <c r="A218" s="3">
        <v>180.4</v>
      </c>
      <c r="B218" s="3">
        <v>1178.4000000000001</v>
      </c>
      <c r="C218" s="18" t="s">
        <v>50</v>
      </c>
      <c r="D218" s="2">
        <v>107.8</v>
      </c>
      <c r="H218" s="18">
        <f t="shared" si="2"/>
        <v>153.08893414799729</v>
      </c>
      <c r="J218" s="18" t="s">
        <v>23</v>
      </c>
      <c r="N218" s="18">
        <v>98.25</v>
      </c>
      <c r="R218" s="19" t="s">
        <v>51</v>
      </c>
    </row>
    <row r="219" spans="1:18" x14ac:dyDescent="0.3">
      <c r="A219" s="3">
        <v>269.60000000000002</v>
      </c>
      <c r="B219" s="3">
        <v>1178.4000000000001</v>
      </c>
      <c r="C219" s="18" t="s">
        <v>50</v>
      </c>
      <c r="D219" s="2">
        <v>107.8</v>
      </c>
      <c r="H219" s="18">
        <f t="shared" si="2"/>
        <v>228.78479293957909</v>
      </c>
      <c r="J219" s="18" t="s">
        <v>23</v>
      </c>
      <c r="N219" s="18">
        <v>98.38</v>
      </c>
      <c r="R219" s="19" t="s">
        <v>51</v>
      </c>
    </row>
    <row r="220" spans="1:18" x14ac:dyDescent="0.3">
      <c r="A220" s="3">
        <v>150</v>
      </c>
      <c r="B220" s="3">
        <v>1000</v>
      </c>
      <c r="C220" s="18" t="s">
        <v>50</v>
      </c>
      <c r="D220" s="2">
        <v>90</v>
      </c>
      <c r="H220" s="18">
        <f t="shared" si="2"/>
        <v>150</v>
      </c>
      <c r="J220" s="18" t="s">
        <v>23</v>
      </c>
      <c r="N220" s="18">
        <v>98.37</v>
      </c>
      <c r="R220" s="19" t="s">
        <v>51</v>
      </c>
    </row>
    <row r="221" spans="1:18" x14ac:dyDescent="0.3">
      <c r="A221" s="3">
        <v>300</v>
      </c>
      <c r="B221" s="3">
        <v>1000</v>
      </c>
      <c r="C221" s="18" t="s">
        <v>50</v>
      </c>
      <c r="D221" s="2">
        <v>90</v>
      </c>
      <c r="H221" s="18">
        <f t="shared" si="2"/>
        <v>300</v>
      </c>
      <c r="J221" s="18" t="s">
        <v>23</v>
      </c>
      <c r="N221" s="18">
        <v>98.71</v>
      </c>
      <c r="R221" s="19" t="s">
        <v>51</v>
      </c>
    </row>
    <row r="222" spans="1:18" x14ac:dyDescent="0.3">
      <c r="A222" s="3">
        <v>225</v>
      </c>
      <c r="B222" s="3">
        <v>700</v>
      </c>
      <c r="C222" s="18" t="s">
        <v>50</v>
      </c>
      <c r="D222" s="2">
        <v>90</v>
      </c>
      <c r="H222" s="18">
        <f t="shared" si="2"/>
        <v>321.42857142857144</v>
      </c>
      <c r="J222" s="18" t="s">
        <v>23</v>
      </c>
      <c r="N222" s="18">
        <v>98.73</v>
      </c>
      <c r="R222" s="19" t="s">
        <v>51</v>
      </c>
    </row>
    <row r="223" spans="1:18" x14ac:dyDescent="0.3">
      <c r="A223" s="3">
        <v>225</v>
      </c>
      <c r="B223" s="3">
        <v>1300</v>
      </c>
      <c r="C223" s="18" t="s">
        <v>50</v>
      </c>
      <c r="D223" s="2">
        <v>90</v>
      </c>
      <c r="H223" s="18">
        <f t="shared" si="2"/>
        <v>173.07692307692307</v>
      </c>
      <c r="J223" s="18" t="s">
        <v>23</v>
      </c>
      <c r="N223" s="18">
        <v>98.37</v>
      </c>
      <c r="R223" s="19" t="s">
        <v>51</v>
      </c>
    </row>
    <row r="224" spans="1:18" x14ac:dyDescent="0.3">
      <c r="A224" s="3">
        <v>225</v>
      </c>
      <c r="B224" s="3">
        <v>1000</v>
      </c>
      <c r="C224" s="18" t="s">
        <v>50</v>
      </c>
      <c r="D224" s="2">
        <v>60</v>
      </c>
      <c r="H224" s="18">
        <f t="shared" si="2"/>
        <v>225</v>
      </c>
      <c r="J224" s="18" t="s">
        <v>23</v>
      </c>
      <c r="N224" s="18">
        <v>98.43</v>
      </c>
      <c r="R224" s="19" t="s">
        <v>51</v>
      </c>
    </row>
    <row r="225" spans="1:18" x14ac:dyDescent="0.3">
      <c r="A225" s="3">
        <v>225</v>
      </c>
      <c r="B225" s="3">
        <v>1000</v>
      </c>
      <c r="C225" s="18" t="s">
        <v>50</v>
      </c>
      <c r="D225" s="2">
        <v>120</v>
      </c>
      <c r="H225" s="18">
        <f t="shared" si="2"/>
        <v>225</v>
      </c>
      <c r="J225" s="18" t="s">
        <v>23</v>
      </c>
      <c r="N225" s="18">
        <v>98.33</v>
      </c>
      <c r="R225" s="19" t="s">
        <v>51</v>
      </c>
    </row>
    <row r="226" spans="1:18" x14ac:dyDescent="0.3">
      <c r="A226" s="3">
        <v>225</v>
      </c>
      <c r="B226" s="3">
        <v>1000</v>
      </c>
      <c r="C226" s="18" t="s">
        <v>50</v>
      </c>
      <c r="D226" s="2">
        <v>90</v>
      </c>
      <c r="H226" s="18">
        <f t="shared" si="2"/>
        <v>225</v>
      </c>
      <c r="J226" s="18" t="s">
        <v>23</v>
      </c>
      <c r="N226" s="18">
        <v>98.65</v>
      </c>
      <c r="R226" s="19" t="s">
        <v>51</v>
      </c>
    </row>
    <row r="227" spans="1:18" x14ac:dyDescent="0.3">
      <c r="A227" s="3">
        <v>225</v>
      </c>
      <c r="B227" s="3">
        <v>1000</v>
      </c>
      <c r="C227" s="18" t="s">
        <v>50</v>
      </c>
      <c r="D227" s="2">
        <v>90</v>
      </c>
      <c r="H227" s="18">
        <f t="shared" si="2"/>
        <v>225</v>
      </c>
      <c r="J227" s="18" t="s">
        <v>23</v>
      </c>
      <c r="N227" s="18">
        <v>98.63</v>
      </c>
      <c r="R227" s="19" t="s">
        <v>51</v>
      </c>
    </row>
    <row r="228" spans="1:18" x14ac:dyDescent="0.3">
      <c r="A228" s="3">
        <v>225</v>
      </c>
      <c r="B228" s="3">
        <v>1000</v>
      </c>
      <c r="C228" s="18" t="s">
        <v>50</v>
      </c>
      <c r="D228" s="2">
        <v>90</v>
      </c>
      <c r="H228" s="18">
        <f t="shared" si="2"/>
        <v>225</v>
      </c>
      <c r="J228" s="18" t="s">
        <v>23</v>
      </c>
      <c r="N228" s="18">
        <v>98.62</v>
      </c>
      <c r="R228" s="19" t="s">
        <v>51</v>
      </c>
    </row>
    <row r="229" spans="1:18" x14ac:dyDescent="0.3">
      <c r="A229" s="3">
        <v>225</v>
      </c>
      <c r="B229" s="3">
        <v>1000</v>
      </c>
      <c r="C229" s="18" t="s">
        <v>50</v>
      </c>
      <c r="D229" s="2">
        <v>90</v>
      </c>
      <c r="H229" s="18">
        <f t="shared" si="2"/>
        <v>225</v>
      </c>
      <c r="J229" s="18" t="s">
        <v>23</v>
      </c>
      <c r="N229" s="18">
        <v>98.68</v>
      </c>
      <c r="R229" s="19" t="s">
        <v>51</v>
      </c>
    </row>
    <row r="230" spans="1:18" x14ac:dyDescent="0.3">
      <c r="A230" s="3">
        <v>225</v>
      </c>
      <c r="B230" s="3">
        <v>1000</v>
      </c>
      <c r="C230" s="18" t="s">
        <v>50</v>
      </c>
      <c r="D230" s="2">
        <v>90</v>
      </c>
      <c r="H230" s="18">
        <f t="shared" si="2"/>
        <v>225</v>
      </c>
      <c r="J230" s="18" t="s">
        <v>23</v>
      </c>
      <c r="N230" s="18">
        <v>98.71</v>
      </c>
      <c r="R230" s="19" t="s">
        <v>51</v>
      </c>
    </row>
    <row r="231" spans="1:18" x14ac:dyDescent="0.3">
      <c r="A231" s="3">
        <v>225</v>
      </c>
      <c r="B231" s="3">
        <v>1000</v>
      </c>
      <c r="C231" s="18" t="s">
        <v>50</v>
      </c>
      <c r="D231" s="2">
        <v>90</v>
      </c>
      <c r="H231" s="18">
        <f t="shared" si="2"/>
        <v>225</v>
      </c>
      <c r="J231" s="18" t="s">
        <v>23</v>
      </c>
      <c r="N231" s="18">
        <v>98.67</v>
      </c>
      <c r="R231" s="19" t="s">
        <v>51</v>
      </c>
    </row>
    <row r="232" spans="1:18" x14ac:dyDescent="0.3">
      <c r="A232" s="3">
        <v>200</v>
      </c>
      <c r="B232" s="3">
        <v>1000</v>
      </c>
      <c r="C232" s="18">
        <v>50</v>
      </c>
      <c r="D232" s="2">
        <v>120</v>
      </c>
      <c r="G232" s="18">
        <v>33</v>
      </c>
      <c r="H232" s="18">
        <v>200</v>
      </c>
      <c r="I232" s="18">
        <v>33.299999999999997</v>
      </c>
      <c r="R232" t="s">
        <v>52</v>
      </c>
    </row>
    <row r="233" spans="1:18" x14ac:dyDescent="0.3">
      <c r="A233" s="3">
        <v>275</v>
      </c>
      <c r="B233" s="3">
        <v>1000</v>
      </c>
      <c r="C233" s="18">
        <v>50</v>
      </c>
      <c r="D233" s="2">
        <v>120</v>
      </c>
      <c r="G233" s="18">
        <v>33</v>
      </c>
      <c r="H233" s="18">
        <v>275</v>
      </c>
      <c r="I233" s="18">
        <v>45.8</v>
      </c>
      <c r="R233" t="s">
        <v>52</v>
      </c>
    </row>
    <row r="234" spans="1:18" x14ac:dyDescent="0.3">
      <c r="A234" s="3">
        <v>200</v>
      </c>
      <c r="B234" s="3">
        <v>700</v>
      </c>
      <c r="C234" s="18">
        <v>50</v>
      </c>
      <c r="D234" s="2">
        <v>120</v>
      </c>
      <c r="G234" s="18">
        <v>33</v>
      </c>
      <c r="H234" s="18">
        <v>285.70999999999998</v>
      </c>
      <c r="I234" s="18">
        <v>47.6</v>
      </c>
      <c r="R234" t="s">
        <v>52</v>
      </c>
    </row>
    <row r="235" spans="1:18" x14ac:dyDescent="0.3">
      <c r="A235" s="3">
        <v>350</v>
      </c>
      <c r="B235" s="3">
        <v>1000</v>
      </c>
      <c r="C235" s="18">
        <v>50</v>
      </c>
      <c r="D235" s="2">
        <v>120</v>
      </c>
      <c r="G235" s="18">
        <v>33</v>
      </c>
      <c r="H235" s="18">
        <v>350</v>
      </c>
      <c r="I235" s="18">
        <v>58.3</v>
      </c>
      <c r="R235" t="s">
        <v>52</v>
      </c>
    </row>
    <row r="236" spans="1:18" x14ac:dyDescent="0.3">
      <c r="A236" s="3">
        <v>275</v>
      </c>
      <c r="B236" s="3">
        <v>700</v>
      </c>
      <c r="C236" s="18">
        <v>50</v>
      </c>
      <c r="D236" s="2">
        <v>120</v>
      </c>
      <c r="G236" s="18">
        <v>33</v>
      </c>
      <c r="H236" s="18">
        <v>392.85</v>
      </c>
      <c r="I236" s="18">
        <v>65.5</v>
      </c>
      <c r="R236" t="s">
        <v>52</v>
      </c>
    </row>
    <row r="237" spans="1:18" x14ac:dyDescent="0.3">
      <c r="A237" s="3">
        <v>200</v>
      </c>
      <c r="B237" s="3">
        <v>400</v>
      </c>
      <c r="C237" s="18">
        <v>50</v>
      </c>
      <c r="D237" s="2">
        <v>120</v>
      </c>
      <c r="G237" s="18">
        <v>33</v>
      </c>
      <c r="H237" s="18">
        <v>500</v>
      </c>
      <c r="I237" s="18">
        <v>83.3</v>
      </c>
      <c r="R237" t="s">
        <v>52</v>
      </c>
    </row>
    <row r="238" spans="1:18" x14ac:dyDescent="0.3">
      <c r="A238" s="3">
        <v>350</v>
      </c>
      <c r="B238" s="3">
        <v>700</v>
      </c>
      <c r="C238" s="18">
        <v>50</v>
      </c>
      <c r="D238" s="2">
        <v>120</v>
      </c>
      <c r="G238" s="18">
        <v>33</v>
      </c>
      <c r="H238" s="18">
        <v>500</v>
      </c>
      <c r="I238" s="18">
        <v>83.3</v>
      </c>
      <c r="R238" t="s">
        <v>52</v>
      </c>
    </row>
    <row r="239" spans="1:18" x14ac:dyDescent="0.3">
      <c r="A239" s="3">
        <v>275</v>
      </c>
      <c r="B239" s="3">
        <v>400</v>
      </c>
      <c r="C239" s="18">
        <v>50</v>
      </c>
      <c r="D239" s="2">
        <v>120</v>
      </c>
      <c r="G239" s="18">
        <v>33</v>
      </c>
      <c r="H239" s="18">
        <v>687.5</v>
      </c>
      <c r="I239" s="18">
        <v>114.6</v>
      </c>
      <c r="R239" t="s">
        <v>52</v>
      </c>
    </row>
    <row r="240" spans="1:18" x14ac:dyDescent="0.3">
      <c r="A240" s="3">
        <v>350</v>
      </c>
      <c r="B240" s="3">
        <v>400</v>
      </c>
      <c r="C240" s="18">
        <v>50</v>
      </c>
      <c r="D240" s="2">
        <v>120</v>
      </c>
      <c r="G240" s="18">
        <v>33</v>
      </c>
      <c r="H240" s="18">
        <v>875</v>
      </c>
      <c r="I240" s="18">
        <v>145.80000000000001</v>
      </c>
      <c r="R240" t="s">
        <v>52</v>
      </c>
    </row>
    <row r="241" spans="1:18" x14ac:dyDescent="0.3">
      <c r="A241" s="3">
        <v>120</v>
      </c>
      <c r="B241" s="3">
        <v>600</v>
      </c>
      <c r="C241" s="18">
        <v>25</v>
      </c>
      <c r="D241" s="2">
        <v>100</v>
      </c>
      <c r="H241" s="18">
        <v>200</v>
      </c>
      <c r="I241" s="18">
        <v>80</v>
      </c>
      <c r="J241" s="18" t="s">
        <v>23</v>
      </c>
      <c r="L241" s="18">
        <v>488</v>
      </c>
      <c r="M241" s="18">
        <v>608</v>
      </c>
      <c r="R241" t="s">
        <v>53</v>
      </c>
    </row>
    <row r="242" spans="1:18" x14ac:dyDescent="0.3">
      <c r="A242" s="3">
        <v>247</v>
      </c>
      <c r="B242" s="3">
        <v>900</v>
      </c>
      <c r="C242" s="18">
        <v>50</v>
      </c>
      <c r="D242" s="2">
        <v>100</v>
      </c>
      <c r="H242" s="18">
        <v>274.44</v>
      </c>
      <c r="I242" s="18">
        <v>55</v>
      </c>
      <c r="J242" s="18" t="s">
        <v>23</v>
      </c>
      <c r="L242" s="18">
        <v>516</v>
      </c>
      <c r="M242" s="18">
        <v>656</v>
      </c>
      <c r="R242" t="s">
        <v>53</v>
      </c>
    </row>
    <row r="243" spans="1:18" x14ac:dyDescent="0.3">
      <c r="A243" s="3">
        <v>247</v>
      </c>
      <c r="B243" s="3">
        <v>567</v>
      </c>
      <c r="C243" s="18">
        <v>100</v>
      </c>
      <c r="D243" s="2">
        <v>100</v>
      </c>
      <c r="H243" s="18">
        <v>435.62</v>
      </c>
      <c r="I243" s="18">
        <v>44</v>
      </c>
      <c r="J243" s="18" t="s">
        <v>23</v>
      </c>
      <c r="L243" s="18">
        <v>503</v>
      </c>
      <c r="M243" s="18">
        <v>644</v>
      </c>
      <c r="R243" t="s">
        <v>53</v>
      </c>
    </row>
    <row r="244" spans="1:18" x14ac:dyDescent="0.3">
      <c r="A244" s="3">
        <v>190</v>
      </c>
      <c r="B244" s="3">
        <v>600</v>
      </c>
      <c r="C244" s="18">
        <v>30</v>
      </c>
      <c r="D244" s="2">
        <v>90</v>
      </c>
      <c r="E244" s="18">
        <v>130</v>
      </c>
      <c r="G244" s="18">
        <v>67</v>
      </c>
      <c r="H244" s="18">
        <v>316.67</v>
      </c>
      <c r="I244" s="18">
        <v>117.28</v>
      </c>
      <c r="K244" s="18">
        <v>242.06</v>
      </c>
      <c r="M244" s="18">
        <v>736.72</v>
      </c>
      <c r="R244" t="s">
        <v>54</v>
      </c>
    </row>
    <row r="245" spans="1:18" x14ac:dyDescent="0.3">
      <c r="A245" s="3">
        <v>190</v>
      </c>
      <c r="B245" s="3">
        <v>700</v>
      </c>
      <c r="C245" s="18">
        <v>30</v>
      </c>
      <c r="D245" s="2">
        <v>90</v>
      </c>
      <c r="E245" s="18">
        <v>130</v>
      </c>
      <c r="G245" s="18">
        <v>67</v>
      </c>
      <c r="H245" s="18">
        <v>271.42</v>
      </c>
      <c r="I245" s="18">
        <v>100.53</v>
      </c>
      <c r="K245" s="18">
        <v>250.1</v>
      </c>
      <c r="M245" s="18">
        <v>734.1</v>
      </c>
      <c r="R245" t="s">
        <v>54</v>
      </c>
    </row>
    <row r="246" spans="1:18" x14ac:dyDescent="0.3">
      <c r="A246" s="3">
        <v>190</v>
      </c>
      <c r="B246" s="3">
        <v>800</v>
      </c>
      <c r="C246" s="18">
        <v>30</v>
      </c>
      <c r="D246" s="2">
        <v>90</v>
      </c>
      <c r="E246" s="18">
        <v>130</v>
      </c>
      <c r="G246" s="18">
        <v>67</v>
      </c>
      <c r="H246" s="18">
        <v>237.5</v>
      </c>
      <c r="I246" s="18">
        <v>87.96</v>
      </c>
      <c r="K246" s="18">
        <v>242.87</v>
      </c>
      <c r="M246" s="18">
        <v>724.01</v>
      </c>
      <c r="R246" t="s">
        <v>54</v>
      </c>
    </row>
    <row r="247" spans="1:18" x14ac:dyDescent="0.3">
      <c r="A247" s="3">
        <v>190</v>
      </c>
      <c r="B247" s="3">
        <v>900</v>
      </c>
      <c r="C247" s="18">
        <v>30</v>
      </c>
      <c r="D247" s="2">
        <v>90</v>
      </c>
      <c r="E247" s="18">
        <v>130</v>
      </c>
      <c r="G247" s="18">
        <v>67</v>
      </c>
      <c r="H247" s="18">
        <v>211.11</v>
      </c>
      <c r="I247" s="18">
        <v>78.19</v>
      </c>
      <c r="K247" s="18">
        <v>240.47</v>
      </c>
      <c r="M247" s="18">
        <v>722.1</v>
      </c>
      <c r="R247" t="s">
        <v>54</v>
      </c>
    </row>
    <row r="248" spans="1:18" x14ac:dyDescent="0.3">
      <c r="A248" s="3">
        <v>170</v>
      </c>
      <c r="B248" s="3">
        <v>600</v>
      </c>
      <c r="C248" s="18">
        <v>30</v>
      </c>
      <c r="D248" s="2">
        <v>90</v>
      </c>
      <c r="E248" s="18">
        <v>130</v>
      </c>
      <c r="G248" s="18">
        <v>67</v>
      </c>
      <c r="H248" s="18">
        <v>283.33</v>
      </c>
      <c r="I248" s="18">
        <v>104.94</v>
      </c>
      <c r="K248" s="18">
        <v>248.17</v>
      </c>
      <c r="M248" s="18">
        <v>727.7</v>
      </c>
      <c r="R248" t="s">
        <v>54</v>
      </c>
    </row>
    <row r="249" spans="1:18" x14ac:dyDescent="0.3">
      <c r="A249" s="3">
        <v>170</v>
      </c>
      <c r="B249" s="3">
        <v>700</v>
      </c>
      <c r="C249" s="18">
        <v>30</v>
      </c>
      <c r="D249" s="2">
        <v>90</v>
      </c>
      <c r="E249" s="18">
        <v>130</v>
      </c>
      <c r="G249" s="18">
        <v>67</v>
      </c>
      <c r="H249" s="18">
        <v>242.85</v>
      </c>
      <c r="I249" s="18">
        <v>89.95</v>
      </c>
      <c r="K249" s="18">
        <v>243.74</v>
      </c>
      <c r="M249" s="18">
        <v>723.81</v>
      </c>
      <c r="R249" t="s">
        <v>54</v>
      </c>
    </row>
    <row r="250" spans="1:18" x14ac:dyDescent="0.3">
      <c r="A250" s="3">
        <v>170</v>
      </c>
      <c r="B250" s="3">
        <v>800</v>
      </c>
      <c r="C250" s="18">
        <v>30</v>
      </c>
      <c r="D250" s="2">
        <v>90</v>
      </c>
      <c r="E250" s="18">
        <v>130</v>
      </c>
      <c r="G250" s="18">
        <v>67</v>
      </c>
      <c r="H250" s="18">
        <v>212.5</v>
      </c>
      <c r="I250" s="18">
        <v>78.7</v>
      </c>
      <c r="K250" s="18">
        <v>240.93</v>
      </c>
      <c r="M250" s="18">
        <v>723.53</v>
      </c>
      <c r="R250" t="s">
        <v>54</v>
      </c>
    </row>
    <row r="251" spans="1:18" x14ac:dyDescent="0.3">
      <c r="A251" s="3">
        <v>170</v>
      </c>
      <c r="B251" s="3">
        <v>900</v>
      </c>
      <c r="C251" s="18">
        <v>30</v>
      </c>
      <c r="D251" s="2">
        <v>90</v>
      </c>
      <c r="E251" s="18">
        <v>130</v>
      </c>
      <c r="G251" s="18">
        <v>67</v>
      </c>
      <c r="H251" s="18">
        <v>188.89</v>
      </c>
      <c r="I251" s="18">
        <v>69.959999999999994</v>
      </c>
      <c r="K251" s="18">
        <v>222.03</v>
      </c>
      <c r="M251" s="18">
        <v>718.8</v>
      </c>
      <c r="R251" t="s">
        <v>54</v>
      </c>
    </row>
    <row r="252" spans="1:18" x14ac:dyDescent="0.3">
      <c r="A252" s="3">
        <v>140</v>
      </c>
      <c r="B252" s="3">
        <v>600</v>
      </c>
      <c r="C252" s="18">
        <v>30</v>
      </c>
      <c r="D252" s="2">
        <v>90</v>
      </c>
      <c r="E252" s="18">
        <v>130</v>
      </c>
      <c r="G252" s="18">
        <v>67</v>
      </c>
      <c r="H252" s="18">
        <v>233.33</v>
      </c>
      <c r="I252" s="18">
        <v>86.42</v>
      </c>
      <c r="K252" s="18">
        <v>224.87</v>
      </c>
      <c r="M252" s="18">
        <v>707.1</v>
      </c>
      <c r="R252" t="s">
        <v>54</v>
      </c>
    </row>
    <row r="253" spans="1:18" x14ac:dyDescent="0.3">
      <c r="A253" s="3">
        <v>140</v>
      </c>
      <c r="B253" s="3">
        <v>700</v>
      </c>
      <c r="C253" s="18">
        <v>30</v>
      </c>
      <c r="D253" s="2">
        <v>90</v>
      </c>
      <c r="E253" s="18">
        <v>130</v>
      </c>
      <c r="G253" s="18">
        <v>67</v>
      </c>
      <c r="H253" s="18">
        <v>200</v>
      </c>
      <c r="I253" s="18">
        <v>74.069999999999993</v>
      </c>
      <c r="K253" s="18">
        <v>218.73</v>
      </c>
      <c r="M253" s="18">
        <v>699.88</v>
      </c>
      <c r="R253" t="s">
        <v>54</v>
      </c>
    </row>
    <row r="254" spans="1:18" x14ac:dyDescent="0.3">
      <c r="A254" s="3">
        <v>140</v>
      </c>
      <c r="B254" s="3">
        <v>800</v>
      </c>
      <c r="C254" s="18">
        <v>30</v>
      </c>
      <c r="D254" s="2">
        <v>90</v>
      </c>
      <c r="E254" s="18">
        <v>130</v>
      </c>
      <c r="G254" s="18">
        <v>67</v>
      </c>
      <c r="H254" s="18">
        <v>175</v>
      </c>
      <c r="I254" s="18">
        <v>64.81</v>
      </c>
      <c r="K254" s="18">
        <v>223.23</v>
      </c>
      <c r="M254" s="18">
        <v>695</v>
      </c>
      <c r="R254" t="s">
        <v>54</v>
      </c>
    </row>
    <row r="255" spans="1:18" x14ac:dyDescent="0.3">
      <c r="A255" s="3">
        <v>140</v>
      </c>
      <c r="B255" s="3">
        <v>900</v>
      </c>
      <c r="C255" s="18">
        <v>30</v>
      </c>
      <c r="D255" s="2">
        <v>90</v>
      </c>
      <c r="E255" s="18">
        <v>130</v>
      </c>
      <c r="G255" s="18">
        <v>67</v>
      </c>
      <c r="H255" s="18">
        <v>155.56</v>
      </c>
      <c r="I255" s="18">
        <v>57.61</v>
      </c>
      <c r="K255" s="18">
        <v>225.36</v>
      </c>
      <c r="M255" s="18">
        <v>688.88</v>
      </c>
      <c r="R255" t="s">
        <v>54</v>
      </c>
    </row>
    <row r="256" spans="1:18" x14ac:dyDescent="0.3">
      <c r="A256" s="3">
        <v>100</v>
      </c>
      <c r="B256" s="3">
        <v>400</v>
      </c>
      <c r="D256" s="2">
        <v>30</v>
      </c>
      <c r="H256" s="18">
        <v>250</v>
      </c>
      <c r="I256" s="18">
        <v>0.23400000000000001</v>
      </c>
      <c r="L256" s="18">
        <v>438</v>
      </c>
      <c r="M256" s="18">
        <v>528</v>
      </c>
      <c r="N256" s="18">
        <v>97.2</v>
      </c>
      <c r="O256" s="26" t="s">
        <v>55</v>
      </c>
      <c r="P256" s="18" t="s">
        <v>39</v>
      </c>
      <c r="Q256" s="18" t="s">
        <v>32</v>
      </c>
      <c r="R256" s="19" t="s">
        <v>56</v>
      </c>
    </row>
    <row r="257" spans="1:18" x14ac:dyDescent="0.3">
      <c r="A257" s="3">
        <v>100</v>
      </c>
      <c r="B257" s="3">
        <v>591</v>
      </c>
      <c r="D257" s="2">
        <v>65</v>
      </c>
      <c r="H257" s="18">
        <v>169.2</v>
      </c>
      <c r="I257" s="18">
        <v>0.158</v>
      </c>
      <c r="L257" s="18">
        <v>379</v>
      </c>
      <c r="M257" s="18">
        <v>489</v>
      </c>
      <c r="N257" s="18">
        <v>98.5</v>
      </c>
      <c r="O257" s="26" t="s">
        <v>55</v>
      </c>
      <c r="P257" s="18" t="s">
        <v>39</v>
      </c>
      <c r="Q257" s="18" t="s">
        <v>32</v>
      </c>
      <c r="R257" s="19" t="s">
        <v>56</v>
      </c>
    </row>
    <row r="258" spans="1:18" x14ac:dyDescent="0.3">
      <c r="A258" s="3">
        <v>100</v>
      </c>
      <c r="B258" s="3">
        <v>600</v>
      </c>
      <c r="D258" s="2">
        <v>75</v>
      </c>
      <c r="H258" s="18">
        <v>166.67</v>
      </c>
      <c r="I258" s="18">
        <v>0.156</v>
      </c>
      <c r="L258" s="18">
        <v>399</v>
      </c>
      <c r="M258" s="18">
        <v>486</v>
      </c>
      <c r="N258" s="18">
        <v>97.6</v>
      </c>
      <c r="O258" s="26" t="s">
        <v>55</v>
      </c>
      <c r="P258" s="18" t="s">
        <v>39</v>
      </c>
      <c r="Q258" s="18" t="s">
        <v>32</v>
      </c>
      <c r="R258" s="19" t="s">
        <v>56</v>
      </c>
    </row>
    <row r="259" spans="1:18" x14ac:dyDescent="0.3">
      <c r="A259" s="3">
        <v>100</v>
      </c>
      <c r="B259" s="3">
        <v>400</v>
      </c>
      <c r="D259" s="2">
        <v>100</v>
      </c>
      <c r="H259" s="18">
        <v>250</v>
      </c>
      <c r="I259" s="18">
        <v>0.23400000000000001</v>
      </c>
      <c r="L259" s="18">
        <v>406</v>
      </c>
      <c r="M259" s="18">
        <v>510</v>
      </c>
      <c r="N259" s="18">
        <v>98</v>
      </c>
      <c r="O259" s="26" t="s">
        <v>55</v>
      </c>
      <c r="P259" s="18" t="s">
        <v>39</v>
      </c>
      <c r="Q259" s="18" t="s">
        <v>32</v>
      </c>
      <c r="R259" s="19" t="s">
        <v>56</v>
      </c>
    </row>
    <row r="260" spans="1:18" x14ac:dyDescent="0.3">
      <c r="A260" s="3">
        <v>100</v>
      </c>
      <c r="B260" s="3">
        <v>400</v>
      </c>
      <c r="D260" s="2">
        <v>150</v>
      </c>
      <c r="H260" s="18">
        <v>250</v>
      </c>
      <c r="I260" s="18">
        <v>0.23400000000000001</v>
      </c>
      <c r="L260" s="18">
        <v>412</v>
      </c>
      <c r="M260" s="18">
        <v>511</v>
      </c>
      <c r="N260" s="18">
        <v>91.2</v>
      </c>
      <c r="O260" s="26" t="s">
        <v>55</v>
      </c>
      <c r="P260" s="18" t="s">
        <v>39</v>
      </c>
      <c r="Q260" s="18" t="s">
        <v>32</v>
      </c>
      <c r="R260" s="19" t="s">
        <v>56</v>
      </c>
    </row>
    <row r="261" spans="1:18" x14ac:dyDescent="0.3">
      <c r="A261" s="3">
        <v>200</v>
      </c>
      <c r="B261" s="3">
        <v>2000</v>
      </c>
      <c r="C261" s="18">
        <v>30</v>
      </c>
      <c r="D261" s="2">
        <v>60</v>
      </c>
      <c r="H261" s="18">
        <v>100</v>
      </c>
      <c r="I261" s="18">
        <v>55.56</v>
      </c>
      <c r="L261" s="18">
        <v>519.1</v>
      </c>
      <c r="M261" s="18">
        <v>611.9</v>
      </c>
      <c r="N261" s="18">
        <v>97.92</v>
      </c>
      <c r="P261" s="18" t="s">
        <v>27</v>
      </c>
      <c r="Q261" s="18" t="s">
        <v>32</v>
      </c>
      <c r="R261" s="19" t="s">
        <v>57</v>
      </c>
    </row>
    <row r="262" spans="1:18" x14ac:dyDescent="0.3">
      <c r="A262" s="3">
        <v>200</v>
      </c>
      <c r="B262" s="3">
        <v>2000</v>
      </c>
      <c r="C262" s="18">
        <v>30</v>
      </c>
      <c r="D262" s="2">
        <v>60</v>
      </c>
      <c r="H262" s="18">
        <v>100</v>
      </c>
      <c r="I262" s="18">
        <v>55.56</v>
      </c>
      <c r="L262" s="18">
        <v>498.9</v>
      </c>
      <c r="M262" s="18">
        <v>589</v>
      </c>
      <c r="N262" s="18">
        <v>97</v>
      </c>
      <c r="P262" s="18" t="s">
        <v>39</v>
      </c>
      <c r="Q262" s="18" t="s">
        <v>58</v>
      </c>
      <c r="R262" s="19" t="s">
        <v>57</v>
      </c>
    </row>
    <row r="263" spans="1:18" x14ac:dyDescent="0.3">
      <c r="A263" s="3">
        <v>200</v>
      </c>
      <c r="B263" s="3">
        <v>2000</v>
      </c>
      <c r="C263" s="18">
        <v>30</v>
      </c>
      <c r="D263" s="2">
        <v>60</v>
      </c>
      <c r="H263" s="18">
        <v>100</v>
      </c>
      <c r="I263" s="18">
        <v>55.56</v>
      </c>
      <c r="L263" s="18">
        <v>509.8</v>
      </c>
      <c r="M263" s="18">
        <v>597.6</v>
      </c>
      <c r="N263" s="18">
        <v>97.22</v>
      </c>
      <c r="P263" s="18" t="s">
        <v>39</v>
      </c>
      <c r="Q263" s="18" t="s">
        <v>58</v>
      </c>
      <c r="R263" s="19" t="s">
        <v>57</v>
      </c>
    </row>
    <row r="264" spans="1:18" x14ac:dyDescent="0.3">
      <c r="A264" s="3">
        <v>510</v>
      </c>
      <c r="B264" s="3">
        <v>200</v>
      </c>
      <c r="C264" s="18">
        <v>50</v>
      </c>
      <c r="D264" s="2">
        <v>90</v>
      </c>
      <c r="G264" s="18">
        <v>31</v>
      </c>
      <c r="H264" s="18">
        <f>((A264/B264)*1000)</f>
        <v>2550</v>
      </c>
      <c r="I264" s="18">
        <v>566.6</v>
      </c>
      <c r="N264" s="18">
        <v>98.35</v>
      </c>
      <c r="R264" t="s">
        <v>59</v>
      </c>
    </row>
    <row r="265" spans="1:18" x14ac:dyDescent="0.3">
      <c r="A265" s="3">
        <v>510</v>
      </c>
      <c r="B265" s="3">
        <v>2000</v>
      </c>
      <c r="C265" s="18">
        <v>50</v>
      </c>
      <c r="D265" s="2">
        <v>90</v>
      </c>
      <c r="G265" s="18">
        <v>31</v>
      </c>
      <c r="H265" s="18">
        <f>((A265/B265)*1000)</f>
        <v>255</v>
      </c>
      <c r="I265" s="18">
        <v>56.67</v>
      </c>
      <c r="N265" s="18">
        <v>91.99</v>
      </c>
      <c r="R265" t="s">
        <v>59</v>
      </c>
    </row>
    <row r="266" spans="1:18" x14ac:dyDescent="0.3">
      <c r="A266" s="3">
        <v>510</v>
      </c>
      <c r="B266" s="3">
        <v>4000</v>
      </c>
      <c r="C266" s="18">
        <v>50</v>
      </c>
      <c r="D266" s="2">
        <v>90</v>
      </c>
      <c r="G266" s="18">
        <v>31</v>
      </c>
      <c r="H266" s="18">
        <f t="shared" ref="H266:H278" si="3">((A266/B266)*1000)</f>
        <v>127.5</v>
      </c>
      <c r="I266" s="18">
        <v>28.33</v>
      </c>
      <c r="N266" s="18">
        <v>77.739999999999995</v>
      </c>
      <c r="R266" t="s">
        <v>59</v>
      </c>
    </row>
    <row r="267" spans="1:18" x14ac:dyDescent="0.3">
      <c r="A267" s="3">
        <v>510</v>
      </c>
      <c r="B267" s="3">
        <v>6000</v>
      </c>
      <c r="C267" s="18">
        <v>50</v>
      </c>
      <c r="D267" s="2">
        <v>90</v>
      </c>
      <c r="G267" s="18">
        <v>31</v>
      </c>
      <c r="H267" s="18">
        <f t="shared" si="3"/>
        <v>85</v>
      </c>
      <c r="I267" s="18">
        <v>18.89</v>
      </c>
      <c r="N267" s="18">
        <v>68.47</v>
      </c>
      <c r="R267" t="s">
        <v>59</v>
      </c>
    </row>
    <row r="268" spans="1:18" x14ac:dyDescent="0.3">
      <c r="A268" s="3">
        <v>510</v>
      </c>
      <c r="B268" s="3">
        <v>8000</v>
      </c>
      <c r="C268" s="18">
        <v>50</v>
      </c>
      <c r="D268" s="2">
        <v>90</v>
      </c>
      <c r="G268" s="18">
        <v>31</v>
      </c>
      <c r="H268" s="18">
        <f t="shared" si="3"/>
        <v>63.75</v>
      </c>
      <c r="I268" s="18">
        <v>14.17</v>
      </c>
      <c r="R268" t="s">
        <v>59</v>
      </c>
    </row>
    <row r="269" spans="1:18" x14ac:dyDescent="0.3">
      <c r="A269" s="3">
        <v>510</v>
      </c>
      <c r="B269" s="3">
        <v>10000</v>
      </c>
      <c r="C269" s="18">
        <v>50</v>
      </c>
      <c r="D269" s="2">
        <v>90</v>
      </c>
      <c r="G269" s="18">
        <v>31</v>
      </c>
      <c r="H269" s="18">
        <f t="shared" si="3"/>
        <v>51</v>
      </c>
      <c r="I269" s="18">
        <v>11.33</v>
      </c>
      <c r="R269" t="s">
        <v>59</v>
      </c>
    </row>
    <row r="270" spans="1:18" x14ac:dyDescent="0.3">
      <c r="A270" s="3">
        <v>420</v>
      </c>
      <c r="B270" s="3">
        <v>200</v>
      </c>
      <c r="C270" s="18">
        <v>50</v>
      </c>
      <c r="D270" s="2">
        <v>90</v>
      </c>
      <c r="G270" s="18">
        <v>31</v>
      </c>
      <c r="H270" s="18">
        <f t="shared" si="3"/>
        <v>2100</v>
      </c>
      <c r="I270" s="18">
        <v>466.67</v>
      </c>
      <c r="N270" s="18">
        <v>98.34</v>
      </c>
      <c r="R270" t="s">
        <v>59</v>
      </c>
    </row>
    <row r="271" spans="1:18" x14ac:dyDescent="0.3">
      <c r="A271" s="3">
        <v>420</v>
      </c>
      <c r="B271" s="3">
        <v>2000</v>
      </c>
      <c r="C271" s="18">
        <v>50</v>
      </c>
      <c r="D271" s="2">
        <v>90</v>
      </c>
      <c r="G271" s="18">
        <v>31</v>
      </c>
      <c r="H271" s="18">
        <f t="shared" si="3"/>
        <v>210</v>
      </c>
      <c r="I271" s="18">
        <v>46.67</v>
      </c>
      <c r="N271" s="18">
        <v>96.7</v>
      </c>
      <c r="R271" t="s">
        <v>59</v>
      </c>
    </row>
    <row r="272" spans="1:18" x14ac:dyDescent="0.3">
      <c r="A272" s="3">
        <v>420</v>
      </c>
      <c r="B272" s="3">
        <v>4000</v>
      </c>
      <c r="C272" s="18">
        <v>50</v>
      </c>
      <c r="D272" s="2">
        <v>90</v>
      </c>
      <c r="G272" s="18">
        <v>31</v>
      </c>
      <c r="H272" s="18">
        <f t="shared" si="3"/>
        <v>105</v>
      </c>
      <c r="I272" s="18">
        <v>23.33</v>
      </c>
      <c r="N272" s="18">
        <v>76.87</v>
      </c>
      <c r="R272" t="s">
        <v>59</v>
      </c>
    </row>
    <row r="273" spans="1:18" x14ac:dyDescent="0.3">
      <c r="A273" s="3">
        <v>420</v>
      </c>
      <c r="B273" s="3">
        <v>6000</v>
      </c>
      <c r="C273" s="18">
        <v>50</v>
      </c>
      <c r="D273" s="2">
        <v>90</v>
      </c>
      <c r="G273" s="18">
        <v>31</v>
      </c>
      <c r="H273" s="18">
        <f t="shared" si="3"/>
        <v>70</v>
      </c>
      <c r="I273" s="18">
        <v>15.56</v>
      </c>
      <c r="N273" s="18">
        <v>64.62</v>
      </c>
      <c r="R273" t="s">
        <v>59</v>
      </c>
    </row>
    <row r="274" spans="1:18" x14ac:dyDescent="0.3">
      <c r="A274" s="3">
        <v>420</v>
      </c>
      <c r="B274" s="3">
        <v>8000</v>
      </c>
      <c r="C274" s="18">
        <v>50</v>
      </c>
      <c r="D274" s="2">
        <v>90</v>
      </c>
      <c r="G274" s="18">
        <v>31</v>
      </c>
      <c r="H274" s="18">
        <f t="shared" si="3"/>
        <v>52.5</v>
      </c>
      <c r="I274" s="18">
        <v>11.67</v>
      </c>
      <c r="R274" t="s">
        <v>59</v>
      </c>
    </row>
    <row r="275" spans="1:18" x14ac:dyDescent="0.3">
      <c r="A275" s="3">
        <v>420</v>
      </c>
      <c r="B275" s="3">
        <v>10000</v>
      </c>
      <c r="C275" s="18">
        <v>50</v>
      </c>
      <c r="D275" s="2">
        <v>90</v>
      </c>
      <c r="G275" s="18">
        <v>31</v>
      </c>
      <c r="H275" s="18">
        <f t="shared" si="3"/>
        <v>42</v>
      </c>
      <c r="I275" s="18">
        <v>9.33</v>
      </c>
      <c r="N275" s="18">
        <v>97.48</v>
      </c>
      <c r="R275" t="s">
        <v>59</v>
      </c>
    </row>
    <row r="276" spans="1:18" x14ac:dyDescent="0.3">
      <c r="A276" s="3">
        <v>330</v>
      </c>
      <c r="B276" s="3">
        <v>200</v>
      </c>
      <c r="C276" s="18">
        <v>50</v>
      </c>
      <c r="D276" s="2">
        <v>90</v>
      </c>
      <c r="G276" s="18">
        <v>31</v>
      </c>
      <c r="H276" s="18">
        <f t="shared" si="3"/>
        <v>1650</v>
      </c>
      <c r="I276" s="18">
        <v>366.67</v>
      </c>
      <c r="N276" s="18">
        <v>99.05</v>
      </c>
      <c r="R276" t="s">
        <v>59</v>
      </c>
    </row>
    <row r="277" spans="1:18" x14ac:dyDescent="0.3">
      <c r="A277" s="3">
        <v>330</v>
      </c>
      <c r="B277" s="3">
        <v>2000</v>
      </c>
      <c r="C277" s="18">
        <v>50</v>
      </c>
      <c r="D277" s="2">
        <v>90</v>
      </c>
      <c r="G277" s="18">
        <v>31</v>
      </c>
      <c r="H277" s="18">
        <f t="shared" si="3"/>
        <v>165</v>
      </c>
      <c r="I277" s="18">
        <v>36.67</v>
      </c>
      <c r="N277" s="18">
        <v>75.760000000000005</v>
      </c>
      <c r="R277" t="s">
        <v>59</v>
      </c>
    </row>
    <row r="278" spans="1:18" x14ac:dyDescent="0.3">
      <c r="A278" s="3">
        <v>330</v>
      </c>
      <c r="B278" s="3">
        <v>4000</v>
      </c>
      <c r="C278" s="18">
        <v>50</v>
      </c>
      <c r="D278" s="2">
        <v>90</v>
      </c>
      <c r="G278" s="18">
        <v>31</v>
      </c>
      <c r="H278" s="18">
        <f t="shared" si="3"/>
        <v>82.5</v>
      </c>
      <c r="I278" s="18">
        <v>18.329999999999998</v>
      </c>
      <c r="N278" s="18">
        <v>71.540000000000006</v>
      </c>
      <c r="R278" t="s">
        <v>59</v>
      </c>
    </row>
    <row r="279" spans="1:18" x14ac:dyDescent="0.3">
      <c r="A279" s="3">
        <v>330</v>
      </c>
      <c r="B279" s="3">
        <v>6000</v>
      </c>
      <c r="C279" s="18">
        <v>50</v>
      </c>
      <c r="D279" s="2">
        <v>90</v>
      </c>
      <c r="G279" s="18">
        <v>31</v>
      </c>
      <c r="H279" s="18">
        <f>((A279/B279)*1000)</f>
        <v>55</v>
      </c>
      <c r="I279" s="18">
        <v>12.22</v>
      </c>
      <c r="R279" t="s">
        <v>59</v>
      </c>
    </row>
    <row r="280" spans="1:18" x14ac:dyDescent="0.3">
      <c r="A280" s="3">
        <v>330</v>
      </c>
      <c r="B280" s="3">
        <v>8000</v>
      </c>
      <c r="C280" s="18">
        <v>50</v>
      </c>
      <c r="D280" s="2">
        <v>90</v>
      </c>
      <c r="G280" s="18">
        <v>31</v>
      </c>
      <c r="H280" s="18">
        <f>((A280/B280)*1000)</f>
        <v>41.25</v>
      </c>
      <c r="I280" s="18">
        <v>9.17</v>
      </c>
      <c r="R280" t="s">
        <v>59</v>
      </c>
    </row>
    <row r="281" spans="1:18" x14ac:dyDescent="0.3">
      <c r="A281" s="3">
        <v>330</v>
      </c>
      <c r="B281" s="3">
        <v>10000</v>
      </c>
      <c r="C281" s="18">
        <v>50</v>
      </c>
      <c r="D281" s="2">
        <v>90</v>
      </c>
      <c r="G281" s="18">
        <v>31</v>
      </c>
      <c r="H281" s="18">
        <f t="shared" ref="H281:H287" si="4">((A281/B281)*1000)</f>
        <v>33</v>
      </c>
      <c r="I281" s="18">
        <v>7.33</v>
      </c>
      <c r="N281" s="18">
        <v>95.85</v>
      </c>
      <c r="R281" t="s">
        <v>59</v>
      </c>
    </row>
    <row r="282" spans="1:18" x14ac:dyDescent="0.3">
      <c r="A282" s="3">
        <v>240</v>
      </c>
      <c r="B282" s="3">
        <v>200</v>
      </c>
      <c r="C282" s="18">
        <v>50</v>
      </c>
      <c r="D282" s="2">
        <v>90</v>
      </c>
      <c r="G282" s="18">
        <v>31</v>
      </c>
      <c r="H282" s="18">
        <f t="shared" si="4"/>
        <v>1200</v>
      </c>
      <c r="I282" s="18">
        <v>266.67</v>
      </c>
      <c r="N282" s="18">
        <v>93.63</v>
      </c>
      <c r="R282" t="s">
        <v>59</v>
      </c>
    </row>
    <row r="283" spans="1:18" x14ac:dyDescent="0.3">
      <c r="A283" s="3">
        <v>240</v>
      </c>
      <c r="B283" s="3">
        <v>2000</v>
      </c>
      <c r="C283" s="18">
        <v>50</v>
      </c>
      <c r="D283" s="2">
        <v>90</v>
      </c>
      <c r="G283" s="18">
        <v>31</v>
      </c>
      <c r="H283" s="18">
        <f t="shared" si="4"/>
        <v>120</v>
      </c>
      <c r="I283" s="18">
        <v>26.67</v>
      </c>
      <c r="N283" s="18">
        <v>71.73</v>
      </c>
      <c r="R283" t="s">
        <v>59</v>
      </c>
    </row>
    <row r="284" spans="1:18" x14ac:dyDescent="0.3">
      <c r="A284" s="3">
        <v>240</v>
      </c>
      <c r="B284" s="3">
        <v>4000</v>
      </c>
      <c r="C284" s="18">
        <v>50</v>
      </c>
      <c r="D284" s="2">
        <v>90</v>
      </c>
      <c r="G284" s="18">
        <v>31</v>
      </c>
      <c r="H284" s="18">
        <f t="shared" si="4"/>
        <v>60</v>
      </c>
      <c r="I284" s="18">
        <v>13.33</v>
      </c>
      <c r="N284" s="18">
        <v>64.58</v>
      </c>
      <c r="R284" t="s">
        <v>59</v>
      </c>
    </row>
    <row r="285" spans="1:18" x14ac:dyDescent="0.3">
      <c r="A285" s="3">
        <v>240</v>
      </c>
      <c r="B285" s="3">
        <v>6000</v>
      </c>
      <c r="C285" s="18">
        <v>50</v>
      </c>
      <c r="D285" s="2">
        <v>90</v>
      </c>
      <c r="G285" s="18">
        <v>31</v>
      </c>
      <c r="H285" s="18">
        <f t="shared" si="4"/>
        <v>40</v>
      </c>
      <c r="I285" s="18">
        <v>8.89</v>
      </c>
      <c r="R285" t="s">
        <v>59</v>
      </c>
    </row>
    <row r="286" spans="1:18" x14ac:dyDescent="0.3">
      <c r="A286" s="3">
        <v>240</v>
      </c>
      <c r="B286" s="3">
        <v>8000</v>
      </c>
      <c r="C286" s="18">
        <v>50</v>
      </c>
      <c r="D286" s="2">
        <v>90</v>
      </c>
      <c r="G286" s="18">
        <v>31</v>
      </c>
      <c r="H286" s="18">
        <f t="shared" si="4"/>
        <v>30</v>
      </c>
      <c r="I286" s="18">
        <v>6.67</v>
      </c>
      <c r="R286" t="s">
        <v>59</v>
      </c>
    </row>
    <row r="287" spans="1:18" x14ac:dyDescent="0.3">
      <c r="A287" s="3">
        <v>240</v>
      </c>
      <c r="B287" s="3">
        <v>10000</v>
      </c>
      <c r="C287" s="18">
        <v>50</v>
      </c>
      <c r="D287" s="2">
        <v>90</v>
      </c>
      <c r="G287" s="18">
        <v>31</v>
      </c>
      <c r="H287" s="18">
        <f t="shared" si="4"/>
        <v>24</v>
      </c>
      <c r="I287" s="18">
        <v>5.33</v>
      </c>
      <c r="N287" s="18">
        <v>94.82</v>
      </c>
      <c r="R287" t="s">
        <v>59</v>
      </c>
    </row>
    <row r="288" spans="1:18" x14ac:dyDescent="0.3">
      <c r="A288" s="3">
        <v>150</v>
      </c>
      <c r="B288" s="3">
        <v>200</v>
      </c>
      <c r="C288" s="18">
        <v>50</v>
      </c>
      <c r="D288" s="2">
        <v>90</v>
      </c>
      <c r="G288" s="18">
        <v>31</v>
      </c>
      <c r="H288" s="18">
        <f>((A288/B288)*1000)</f>
        <v>750</v>
      </c>
      <c r="I288" s="18">
        <v>166.67</v>
      </c>
      <c r="N288" s="18">
        <v>80.19</v>
      </c>
      <c r="R288" t="s">
        <v>59</v>
      </c>
    </row>
    <row r="289" spans="1:18" x14ac:dyDescent="0.3">
      <c r="A289" s="3">
        <v>150</v>
      </c>
      <c r="B289" s="3">
        <v>2000</v>
      </c>
      <c r="C289" s="18">
        <v>50</v>
      </c>
      <c r="D289" s="2">
        <v>90</v>
      </c>
      <c r="G289" s="18">
        <v>31</v>
      </c>
      <c r="H289" s="18">
        <f>((A289/B289)*1000)</f>
        <v>75</v>
      </c>
      <c r="I289" s="18">
        <v>16.670000000000002</v>
      </c>
      <c r="N289" s="18">
        <v>61.14</v>
      </c>
      <c r="R289" t="s">
        <v>59</v>
      </c>
    </row>
    <row r="290" spans="1:18" x14ac:dyDescent="0.3">
      <c r="A290" s="3">
        <v>150</v>
      </c>
      <c r="B290" s="3">
        <v>4000</v>
      </c>
      <c r="C290" s="18">
        <v>50</v>
      </c>
      <c r="D290" s="2">
        <v>90</v>
      </c>
      <c r="G290" s="18">
        <v>31</v>
      </c>
      <c r="H290" s="18">
        <f t="shared" ref="H290:H294" si="5">((A290/B290)*1000)</f>
        <v>37.5</v>
      </c>
      <c r="I290" s="18">
        <v>8.33</v>
      </c>
      <c r="R290" t="s">
        <v>59</v>
      </c>
    </row>
    <row r="291" spans="1:18" x14ac:dyDescent="0.3">
      <c r="A291" s="3">
        <v>150</v>
      </c>
      <c r="B291" s="3">
        <v>6000</v>
      </c>
      <c r="C291" s="18">
        <v>50</v>
      </c>
      <c r="D291" s="2">
        <v>90</v>
      </c>
      <c r="G291" s="18">
        <v>31</v>
      </c>
      <c r="H291" s="18">
        <f t="shared" si="5"/>
        <v>25</v>
      </c>
      <c r="I291" s="18">
        <v>5.56</v>
      </c>
      <c r="R291" t="s">
        <v>59</v>
      </c>
    </row>
    <row r="292" spans="1:18" x14ac:dyDescent="0.3">
      <c r="A292" s="3">
        <v>150</v>
      </c>
      <c r="B292" s="3">
        <v>8000</v>
      </c>
      <c r="C292" s="18">
        <v>50</v>
      </c>
      <c r="D292" s="2">
        <v>90</v>
      </c>
      <c r="G292" s="18">
        <v>31</v>
      </c>
      <c r="H292" s="18">
        <f t="shared" si="5"/>
        <v>18.75</v>
      </c>
      <c r="I292" s="18">
        <v>4.17</v>
      </c>
      <c r="R292" t="s">
        <v>59</v>
      </c>
    </row>
    <row r="293" spans="1:18" x14ac:dyDescent="0.3">
      <c r="A293" s="3">
        <v>150</v>
      </c>
      <c r="B293" s="3">
        <v>10000</v>
      </c>
      <c r="C293" s="18">
        <v>50</v>
      </c>
      <c r="D293" s="2">
        <v>90</v>
      </c>
      <c r="G293" s="18">
        <v>31</v>
      </c>
      <c r="H293" s="18">
        <f t="shared" si="5"/>
        <v>15</v>
      </c>
      <c r="I293" s="18">
        <v>3.33</v>
      </c>
      <c r="N293" s="18">
        <v>89.84</v>
      </c>
      <c r="R293" t="s">
        <v>59</v>
      </c>
    </row>
    <row r="294" spans="1:18" x14ac:dyDescent="0.3">
      <c r="A294" s="3">
        <v>60</v>
      </c>
      <c r="B294" s="3">
        <v>200</v>
      </c>
      <c r="C294" s="18">
        <v>50</v>
      </c>
      <c r="D294" s="2">
        <v>90</v>
      </c>
      <c r="G294" s="18">
        <v>31</v>
      </c>
      <c r="H294" s="18">
        <f t="shared" si="5"/>
        <v>300</v>
      </c>
      <c r="I294" s="18">
        <v>66.67</v>
      </c>
      <c r="R294" t="s">
        <v>59</v>
      </c>
    </row>
    <row r="295" spans="1:18" x14ac:dyDescent="0.3">
      <c r="A295" s="3">
        <v>60</v>
      </c>
      <c r="B295" s="3">
        <v>2000</v>
      </c>
      <c r="C295" s="18">
        <v>50</v>
      </c>
      <c r="D295" s="2">
        <v>90</v>
      </c>
      <c r="G295" s="18">
        <v>31</v>
      </c>
      <c r="H295" s="18">
        <f>((A295/B295)*1000)</f>
        <v>30</v>
      </c>
      <c r="I295" s="18">
        <v>6.67</v>
      </c>
      <c r="R295" t="s">
        <v>59</v>
      </c>
    </row>
    <row r="296" spans="1:18" x14ac:dyDescent="0.3">
      <c r="A296" s="3">
        <v>60</v>
      </c>
      <c r="B296" s="3">
        <v>4000</v>
      </c>
      <c r="C296" s="18">
        <v>50</v>
      </c>
      <c r="D296" s="2">
        <v>90</v>
      </c>
      <c r="G296" s="18">
        <v>31</v>
      </c>
      <c r="H296" s="18">
        <f>((A296/B296)*1000)</f>
        <v>15</v>
      </c>
      <c r="I296" s="18">
        <v>3.33</v>
      </c>
      <c r="R296" t="s">
        <v>59</v>
      </c>
    </row>
    <row r="297" spans="1:18" x14ac:dyDescent="0.3">
      <c r="A297" s="3">
        <v>60</v>
      </c>
      <c r="B297" s="3">
        <v>6000</v>
      </c>
      <c r="C297" s="18">
        <v>50</v>
      </c>
      <c r="D297" s="2">
        <v>90</v>
      </c>
      <c r="G297" s="18">
        <v>31</v>
      </c>
      <c r="H297" s="18">
        <f t="shared" ref="H297:H304" si="6">((A297/B297)*1000)</f>
        <v>10</v>
      </c>
      <c r="I297" s="18">
        <v>2.2200000000000002</v>
      </c>
      <c r="R297" t="s">
        <v>59</v>
      </c>
    </row>
    <row r="298" spans="1:18" x14ac:dyDescent="0.3">
      <c r="A298" s="3">
        <v>60</v>
      </c>
      <c r="B298" s="3">
        <v>8000</v>
      </c>
      <c r="C298" s="18">
        <v>50</v>
      </c>
      <c r="D298" s="2">
        <v>90</v>
      </c>
      <c r="G298" s="18">
        <v>31</v>
      </c>
      <c r="H298" s="18">
        <f t="shared" si="6"/>
        <v>7.5</v>
      </c>
      <c r="I298" s="18">
        <v>1.67</v>
      </c>
      <c r="R298" t="s">
        <v>59</v>
      </c>
    </row>
    <row r="299" spans="1:18" x14ac:dyDescent="0.3">
      <c r="A299" s="3">
        <v>60</v>
      </c>
      <c r="B299" s="3">
        <v>10000</v>
      </c>
      <c r="C299" s="18">
        <v>50</v>
      </c>
      <c r="D299" s="2">
        <v>90</v>
      </c>
      <c r="G299" s="18">
        <v>31</v>
      </c>
      <c r="H299" s="18">
        <f t="shared" si="6"/>
        <v>6</v>
      </c>
      <c r="I299" s="18">
        <v>1.33</v>
      </c>
      <c r="R299" t="s">
        <v>59</v>
      </c>
    </row>
    <row r="300" spans="1:18" x14ac:dyDescent="0.3">
      <c r="A300" s="3">
        <v>350</v>
      </c>
      <c r="B300" s="3">
        <v>800</v>
      </c>
      <c r="C300" s="18">
        <v>50</v>
      </c>
      <c r="D300" s="2">
        <v>90</v>
      </c>
      <c r="G300" s="18">
        <v>31</v>
      </c>
      <c r="H300" s="18">
        <f t="shared" si="6"/>
        <v>437.5</v>
      </c>
      <c r="I300" s="18">
        <v>97.22</v>
      </c>
      <c r="N300" s="18">
        <v>99.62</v>
      </c>
      <c r="R300" t="s">
        <v>59</v>
      </c>
    </row>
    <row r="301" spans="1:18" x14ac:dyDescent="0.3">
      <c r="A301" s="3">
        <v>350</v>
      </c>
      <c r="B301" s="3">
        <v>1000</v>
      </c>
      <c r="C301" s="18">
        <v>50</v>
      </c>
      <c r="D301" s="2">
        <v>90</v>
      </c>
      <c r="G301" s="18">
        <v>31</v>
      </c>
      <c r="H301" s="18">
        <f t="shared" si="6"/>
        <v>350</v>
      </c>
      <c r="I301" s="18">
        <v>77.78</v>
      </c>
      <c r="N301" s="18">
        <v>99.67</v>
      </c>
      <c r="R301" t="s">
        <v>59</v>
      </c>
    </row>
    <row r="302" spans="1:18" x14ac:dyDescent="0.3">
      <c r="A302" s="3">
        <v>350</v>
      </c>
      <c r="B302" s="3">
        <v>1250</v>
      </c>
      <c r="C302" s="18">
        <v>50</v>
      </c>
      <c r="D302" s="2">
        <v>90</v>
      </c>
      <c r="G302" s="18">
        <v>31</v>
      </c>
      <c r="H302" s="18">
        <f t="shared" si="6"/>
        <v>280</v>
      </c>
      <c r="I302" s="18">
        <v>62.22</v>
      </c>
      <c r="N302" s="18">
        <v>99.11</v>
      </c>
      <c r="R302" t="s">
        <v>59</v>
      </c>
    </row>
    <row r="303" spans="1:18" x14ac:dyDescent="0.3">
      <c r="A303" s="3">
        <v>350</v>
      </c>
      <c r="B303" s="3">
        <v>2000</v>
      </c>
      <c r="C303" s="18">
        <v>50</v>
      </c>
      <c r="D303" s="2">
        <v>90</v>
      </c>
      <c r="G303" s="18">
        <v>31</v>
      </c>
      <c r="H303" s="18">
        <f t="shared" si="6"/>
        <v>175</v>
      </c>
      <c r="I303" s="18">
        <v>38.880000000000003</v>
      </c>
      <c r="L303" s="18">
        <v>420.1</v>
      </c>
      <c r="M303" s="18">
        <v>563.27</v>
      </c>
      <c r="N303" s="18">
        <v>99.02</v>
      </c>
      <c r="O303" s="26" t="s">
        <v>60</v>
      </c>
      <c r="P303" s="18" t="s">
        <v>27</v>
      </c>
      <c r="Q303" s="18" t="s">
        <v>58</v>
      </c>
      <c r="R303" t="s">
        <v>59</v>
      </c>
    </row>
    <row r="304" spans="1:18" x14ac:dyDescent="0.3">
      <c r="A304" s="3">
        <v>285</v>
      </c>
      <c r="B304" s="3">
        <v>800</v>
      </c>
      <c r="C304" s="18">
        <v>50</v>
      </c>
      <c r="D304" s="2">
        <v>90</v>
      </c>
      <c r="G304" s="18">
        <v>31</v>
      </c>
      <c r="H304" s="18">
        <f t="shared" si="6"/>
        <v>356.25</v>
      </c>
      <c r="I304" s="18">
        <v>79.17</v>
      </c>
      <c r="N304" s="18">
        <v>99.67</v>
      </c>
      <c r="R304" t="s">
        <v>59</v>
      </c>
    </row>
    <row r="305" spans="1:18" x14ac:dyDescent="0.3">
      <c r="A305" s="3">
        <v>285</v>
      </c>
      <c r="B305" s="3">
        <v>1000</v>
      </c>
      <c r="C305" s="18">
        <v>50</v>
      </c>
      <c r="D305" s="2">
        <v>90</v>
      </c>
      <c r="G305" s="18">
        <v>31</v>
      </c>
      <c r="H305" s="18">
        <f>((A305/B305)*1000)</f>
        <v>285</v>
      </c>
      <c r="I305" s="18">
        <v>63.33</v>
      </c>
      <c r="N305" s="18">
        <v>99.57</v>
      </c>
      <c r="R305" t="s">
        <v>59</v>
      </c>
    </row>
    <row r="306" spans="1:18" x14ac:dyDescent="0.3">
      <c r="A306" s="3">
        <v>285</v>
      </c>
      <c r="B306" s="3">
        <v>1250</v>
      </c>
      <c r="C306" s="18">
        <v>50</v>
      </c>
      <c r="D306" s="2">
        <v>90</v>
      </c>
      <c r="G306" s="18">
        <v>31</v>
      </c>
      <c r="H306" s="18">
        <f>((A306/B306)*1000)</f>
        <v>228</v>
      </c>
      <c r="I306" s="18">
        <v>50.67</v>
      </c>
      <c r="L306" s="18">
        <v>425.24</v>
      </c>
      <c r="M306" s="18">
        <v>585.92999999999995</v>
      </c>
      <c r="N306" s="18">
        <v>99.2</v>
      </c>
      <c r="O306" s="26" t="s">
        <v>61</v>
      </c>
      <c r="P306" s="18" t="s">
        <v>27</v>
      </c>
      <c r="Q306" s="18" t="s">
        <v>58</v>
      </c>
      <c r="R306" t="s">
        <v>59</v>
      </c>
    </row>
    <row r="307" spans="1:18" x14ac:dyDescent="0.3">
      <c r="A307" s="3">
        <v>285</v>
      </c>
      <c r="B307" s="3">
        <v>2000</v>
      </c>
      <c r="C307" s="18">
        <v>50</v>
      </c>
      <c r="D307" s="2">
        <v>90</v>
      </c>
      <c r="G307" s="18">
        <v>31</v>
      </c>
      <c r="H307" s="18">
        <f t="shared" ref="H307:H378" si="7">((A307/B307)*1000)</f>
        <v>142.5</v>
      </c>
      <c r="I307" s="18">
        <v>31.67</v>
      </c>
      <c r="N307" s="18">
        <v>92.64</v>
      </c>
      <c r="R307" t="s">
        <v>59</v>
      </c>
    </row>
    <row r="308" spans="1:18" x14ac:dyDescent="0.3">
      <c r="A308" s="3">
        <v>250</v>
      </c>
      <c r="B308" s="3">
        <v>800</v>
      </c>
      <c r="C308" s="18">
        <v>50</v>
      </c>
      <c r="D308" s="2">
        <v>90</v>
      </c>
      <c r="G308" s="18">
        <v>31</v>
      </c>
      <c r="H308" s="18">
        <f t="shared" si="7"/>
        <v>312.5</v>
      </c>
      <c r="I308" s="18">
        <v>69.44</v>
      </c>
      <c r="L308" s="18">
        <v>372.43</v>
      </c>
      <c r="M308" s="18">
        <v>530.78</v>
      </c>
      <c r="N308" s="18">
        <v>99.67</v>
      </c>
      <c r="O308" s="26" t="s">
        <v>62</v>
      </c>
      <c r="P308" s="18" t="s">
        <v>39</v>
      </c>
      <c r="Q308" s="18" t="s">
        <v>32</v>
      </c>
      <c r="R308" t="s">
        <v>59</v>
      </c>
    </row>
    <row r="309" spans="1:18" x14ac:dyDescent="0.3">
      <c r="A309" s="3">
        <v>250</v>
      </c>
      <c r="B309" s="3">
        <v>1000</v>
      </c>
      <c r="C309" s="18">
        <v>50</v>
      </c>
      <c r="D309" s="2">
        <v>90</v>
      </c>
      <c r="G309" s="18">
        <v>31</v>
      </c>
      <c r="H309" s="18">
        <f t="shared" si="7"/>
        <v>250</v>
      </c>
      <c r="I309" s="18">
        <v>55.55</v>
      </c>
      <c r="L309" s="18">
        <v>426.21</v>
      </c>
      <c r="M309" s="18">
        <v>568.59</v>
      </c>
      <c r="N309" s="18">
        <v>99.42</v>
      </c>
      <c r="O309" s="26" t="s">
        <v>63</v>
      </c>
      <c r="P309" s="18" t="s">
        <v>39</v>
      </c>
      <c r="Q309" s="18" t="s">
        <v>32</v>
      </c>
      <c r="R309" t="s">
        <v>59</v>
      </c>
    </row>
    <row r="310" spans="1:18" x14ac:dyDescent="0.3">
      <c r="A310" s="3">
        <v>250</v>
      </c>
      <c r="B310" s="3">
        <v>1250</v>
      </c>
      <c r="C310" s="18">
        <v>50</v>
      </c>
      <c r="D310" s="2">
        <v>90</v>
      </c>
      <c r="G310" s="18">
        <v>31</v>
      </c>
      <c r="H310" s="18">
        <f t="shared" si="7"/>
        <v>200</v>
      </c>
      <c r="I310" s="18">
        <v>4.4400000000000004</v>
      </c>
      <c r="N310" s="18">
        <v>99.03</v>
      </c>
      <c r="R310" t="s">
        <v>59</v>
      </c>
    </row>
    <row r="311" spans="1:18" x14ac:dyDescent="0.3">
      <c r="A311" s="3">
        <v>250</v>
      </c>
      <c r="B311" s="3">
        <v>2000</v>
      </c>
      <c r="C311" s="18">
        <v>50</v>
      </c>
      <c r="D311" s="2">
        <v>90</v>
      </c>
      <c r="G311" s="18">
        <v>31</v>
      </c>
      <c r="H311" s="18">
        <f t="shared" si="7"/>
        <v>125</v>
      </c>
      <c r="I311" s="18">
        <v>27.78</v>
      </c>
      <c r="N311" s="18">
        <v>90.58</v>
      </c>
      <c r="R311" t="s">
        <v>59</v>
      </c>
    </row>
    <row r="312" spans="1:18" x14ac:dyDescent="0.3">
      <c r="A312" s="18">
        <v>125</v>
      </c>
      <c r="B312" s="18">
        <v>100</v>
      </c>
      <c r="C312" s="18">
        <v>30</v>
      </c>
      <c r="D312" s="18">
        <v>120</v>
      </c>
      <c r="E312" s="18">
        <v>70</v>
      </c>
      <c r="F312" s="18" t="s">
        <v>64</v>
      </c>
      <c r="G312" s="18">
        <v>67</v>
      </c>
      <c r="H312" s="18">
        <f t="shared" si="7"/>
        <v>1250</v>
      </c>
      <c r="I312" s="18">
        <v>347.2</v>
      </c>
      <c r="N312" s="18">
        <v>96.35</v>
      </c>
      <c r="O312" s="26" t="s">
        <v>65</v>
      </c>
      <c r="P312" s="18" t="s">
        <v>27</v>
      </c>
      <c r="Q312" s="18" t="s">
        <v>58</v>
      </c>
      <c r="R312" t="s">
        <v>66</v>
      </c>
    </row>
    <row r="313" spans="1:18" x14ac:dyDescent="0.3">
      <c r="A313" s="18">
        <v>125</v>
      </c>
      <c r="B313" s="18">
        <v>200</v>
      </c>
      <c r="C313" s="18">
        <v>30</v>
      </c>
      <c r="D313" s="18">
        <v>120</v>
      </c>
      <c r="E313" s="18">
        <v>70</v>
      </c>
      <c r="F313" s="18" t="s">
        <v>64</v>
      </c>
      <c r="G313" s="18">
        <v>67</v>
      </c>
      <c r="H313" s="18">
        <f t="shared" si="7"/>
        <v>625</v>
      </c>
      <c r="I313" s="18">
        <v>173.6</v>
      </c>
      <c r="N313" s="18">
        <v>96.79</v>
      </c>
      <c r="O313" s="26" t="s">
        <v>67</v>
      </c>
      <c r="P313" s="18" t="s">
        <v>39</v>
      </c>
      <c r="Q313" s="18" t="s">
        <v>32</v>
      </c>
      <c r="R313" t="s">
        <v>66</v>
      </c>
    </row>
    <row r="314" spans="1:18" x14ac:dyDescent="0.3">
      <c r="A314" s="18">
        <v>125</v>
      </c>
      <c r="B314" s="18">
        <v>400</v>
      </c>
      <c r="C314" s="18">
        <v>30</v>
      </c>
      <c r="D314" s="18">
        <v>120</v>
      </c>
      <c r="E314" s="18">
        <v>70</v>
      </c>
      <c r="F314" s="18" t="s">
        <v>64</v>
      </c>
      <c r="G314" s="18">
        <v>67</v>
      </c>
      <c r="H314" s="18">
        <f t="shared" si="7"/>
        <v>312.5</v>
      </c>
      <c r="I314" s="18">
        <v>86.8</v>
      </c>
      <c r="N314" s="18">
        <v>99.09</v>
      </c>
      <c r="O314" s="26" t="s">
        <v>68</v>
      </c>
      <c r="P314" s="18" t="s">
        <v>27</v>
      </c>
      <c r="Q314" s="18" t="s">
        <v>58</v>
      </c>
      <c r="R314" t="s">
        <v>66</v>
      </c>
    </row>
    <row r="315" spans="1:18" x14ac:dyDescent="0.3">
      <c r="A315" s="18">
        <v>125</v>
      </c>
      <c r="B315" s="18">
        <v>600</v>
      </c>
      <c r="C315" s="18">
        <v>30</v>
      </c>
      <c r="D315" s="18">
        <v>120</v>
      </c>
      <c r="E315" s="18">
        <v>70</v>
      </c>
      <c r="F315" s="18" t="s">
        <v>64</v>
      </c>
      <c r="G315" s="18">
        <v>67</v>
      </c>
      <c r="H315" s="18">
        <f t="shared" si="7"/>
        <v>208.33333333333334</v>
      </c>
      <c r="I315" s="18">
        <v>57.9</v>
      </c>
      <c r="N315" s="18">
        <v>99.9</v>
      </c>
      <c r="O315" s="26" t="s">
        <v>69</v>
      </c>
      <c r="P315" s="18" t="s">
        <v>27</v>
      </c>
      <c r="Q315" s="18" t="s">
        <v>32</v>
      </c>
      <c r="R315" t="s">
        <v>66</v>
      </c>
    </row>
    <row r="316" spans="1:18" x14ac:dyDescent="0.3">
      <c r="A316" s="18">
        <v>125</v>
      </c>
      <c r="B316" s="18">
        <v>800</v>
      </c>
      <c r="C316" s="18">
        <v>30</v>
      </c>
      <c r="D316" s="18">
        <v>120</v>
      </c>
      <c r="E316" s="18">
        <v>70</v>
      </c>
      <c r="F316" s="18" t="s">
        <v>64</v>
      </c>
      <c r="G316" s="18">
        <v>67</v>
      </c>
      <c r="H316" s="18">
        <f t="shared" si="7"/>
        <v>156.25</v>
      </c>
      <c r="I316" s="18">
        <v>43.4</v>
      </c>
      <c r="N316" s="18">
        <v>99.51</v>
      </c>
      <c r="O316" s="26" t="s">
        <v>70</v>
      </c>
      <c r="P316" s="18" t="s">
        <v>71</v>
      </c>
      <c r="Q316" s="18" t="s">
        <v>58</v>
      </c>
      <c r="R316" t="s">
        <v>66</v>
      </c>
    </row>
    <row r="317" spans="1:18" x14ac:dyDescent="0.3">
      <c r="A317" s="18">
        <v>200</v>
      </c>
      <c r="B317" s="18">
        <v>200</v>
      </c>
      <c r="C317" s="18">
        <v>30</v>
      </c>
      <c r="D317" s="18">
        <v>120</v>
      </c>
      <c r="E317" s="18">
        <v>70</v>
      </c>
      <c r="F317" s="18" t="s">
        <v>64</v>
      </c>
      <c r="G317" s="18">
        <v>67</v>
      </c>
      <c r="H317" s="18">
        <f t="shared" si="7"/>
        <v>1000</v>
      </c>
      <c r="I317" s="18">
        <v>277.8</v>
      </c>
      <c r="N317" s="18">
        <v>98.35</v>
      </c>
      <c r="O317" s="26" t="s">
        <v>72</v>
      </c>
      <c r="P317" s="18" t="s">
        <v>71</v>
      </c>
      <c r="Q317" s="18" t="s">
        <v>32</v>
      </c>
      <c r="R317" t="s">
        <v>66</v>
      </c>
    </row>
    <row r="318" spans="1:18" x14ac:dyDescent="0.3">
      <c r="A318" s="18">
        <v>200</v>
      </c>
      <c r="B318" s="18">
        <v>400</v>
      </c>
      <c r="C318" s="18">
        <v>30</v>
      </c>
      <c r="D318" s="18">
        <v>120</v>
      </c>
      <c r="E318" s="18">
        <v>70</v>
      </c>
      <c r="F318" s="18" t="s">
        <v>64</v>
      </c>
      <c r="G318" s="18">
        <v>67</v>
      </c>
      <c r="H318" s="18">
        <f t="shared" si="7"/>
        <v>500</v>
      </c>
      <c r="I318" s="18">
        <v>138.9</v>
      </c>
      <c r="N318" s="18">
        <v>99.49</v>
      </c>
      <c r="O318" s="26" t="s">
        <v>73</v>
      </c>
      <c r="P318" s="18" t="s">
        <v>27</v>
      </c>
      <c r="Q318" s="18" t="s">
        <v>58</v>
      </c>
      <c r="R318" t="s">
        <v>66</v>
      </c>
    </row>
    <row r="319" spans="1:18" x14ac:dyDescent="0.3">
      <c r="A319" s="18">
        <v>200</v>
      </c>
      <c r="B319" s="18">
        <v>600</v>
      </c>
      <c r="C319" s="18">
        <v>30</v>
      </c>
      <c r="D319" s="18">
        <v>120</v>
      </c>
      <c r="E319" s="18">
        <v>70</v>
      </c>
      <c r="F319" s="18" t="s">
        <v>64</v>
      </c>
      <c r="G319" s="18">
        <v>67</v>
      </c>
      <c r="H319" s="18">
        <f t="shared" si="7"/>
        <v>333.33333333333331</v>
      </c>
      <c r="I319" s="18">
        <v>92.6</v>
      </c>
      <c r="N319" s="18">
        <v>99.92</v>
      </c>
      <c r="O319" s="26" t="s">
        <v>74</v>
      </c>
      <c r="P319" s="18" t="s">
        <v>27</v>
      </c>
      <c r="Q319" s="18" t="s">
        <v>32</v>
      </c>
      <c r="R319" t="s">
        <v>66</v>
      </c>
    </row>
    <row r="320" spans="1:18" x14ac:dyDescent="0.3">
      <c r="A320" s="18">
        <v>200</v>
      </c>
      <c r="B320" s="18">
        <v>800</v>
      </c>
      <c r="C320" s="18">
        <v>30</v>
      </c>
      <c r="D320" s="18">
        <v>120</v>
      </c>
      <c r="E320" s="18">
        <v>70</v>
      </c>
      <c r="F320" s="18" t="s">
        <v>64</v>
      </c>
      <c r="G320" s="18">
        <v>67</v>
      </c>
      <c r="H320" s="18">
        <f t="shared" si="7"/>
        <v>250</v>
      </c>
      <c r="I320" s="18">
        <v>69.400000000000006</v>
      </c>
      <c r="N320" s="18">
        <v>99.89</v>
      </c>
      <c r="O320" s="26" t="s">
        <v>75</v>
      </c>
      <c r="P320" s="18" t="s">
        <v>31</v>
      </c>
      <c r="Q320" s="18" t="s">
        <v>58</v>
      </c>
      <c r="R320" t="s">
        <v>66</v>
      </c>
    </row>
    <row r="321" spans="1:18" x14ac:dyDescent="0.3">
      <c r="A321" s="18">
        <v>200</v>
      </c>
      <c r="B321" s="18">
        <v>1000</v>
      </c>
      <c r="C321" s="18">
        <v>30</v>
      </c>
      <c r="D321" s="18">
        <v>120</v>
      </c>
      <c r="E321" s="18">
        <v>70</v>
      </c>
      <c r="F321" s="18" t="s">
        <v>64</v>
      </c>
      <c r="G321" s="18">
        <v>67</v>
      </c>
      <c r="H321" s="18">
        <f t="shared" si="7"/>
        <v>200</v>
      </c>
      <c r="I321" s="18">
        <v>55.6</v>
      </c>
      <c r="N321" s="18">
        <v>99.88</v>
      </c>
      <c r="O321" s="26" t="s">
        <v>76</v>
      </c>
      <c r="P321" s="18" t="s">
        <v>31</v>
      </c>
      <c r="Q321" s="18" t="s">
        <v>32</v>
      </c>
      <c r="R321" t="s">
        <v>66</v>
      </c>
    </row>
    <row r="322" spans="1:18" x14ac:dyDescent="0.3">
      <c r="A322" s="18">
        <v>200</v>
      </c>
      <c r="B322" s="18">
        <v>1200</v>
      </c>
      <c r="C322" s="18">
        <v>30</v>
      </c>
      <c r="D322" s="18">
        <v>120</v>
      </c>
      <c r="E322" s="18">
        <v>70</v>
      </c>
      <c r="F322" s="18" t="s">
        <v>64</v>
      </c>
      <c r="G322" s="18">
        <v>67</v>
      </c>
      <c r="H322" s="18">
        <f t="shared" si="7"/>
        <v>166.66666666666666</v>
      </c>
      <c r="I322" s="18">
        <v>46.3</v>
      </c>
      <c r="N322" s="18">
        <v>99.83</v>
      </c>
      <c r="O322" s="26" t="s">
        <v>77</v>
      </c>
      <c r="P322" s="18" t="s">
        <v>31</v>
      </c>
      <c r="Q322" s="18" t="s">
        <v>58</v>
      </c>
      <c r="R322" t="s">
        <v>66</v>
      </c>
    </row>
    <row r="323" spans="1:18" x14ac:dyDescent="0.3">
      <c r="A323" s="18">
        <v>200</v>
      </c>
      <c r="B323" s="18">
        <v>1400</v>
      </c>
      <c r="C323" s="18">
        <v>30</v>
      </c>
      <c r="D323" s="18">
        <v>120</v>
      </c>
      <c r="E323" s="18">
        <v>70</v>
      </c>
      <c r="F323" s="18" t="s">
        <v>64</v>
      </c>
      <c r="G323" s="18">
        <v>67</v>
      </c>
      <c r="H323" s="18">
        <f t="shared" si="7"/>
        <v>142.85714285714286</v>
      </c>
      <c r="I323" s="18">
        <v>39.700000000000003</v>
      </c>
      <c r="N323" s="18">
        <v>99.44</v>
      </c>
      <c r="O323" s="26" t="s">
        <v>78</v>
      </c>
      <c r="P323" s="18" t="s">
        <v>31</v>
      </c>
      <c r="Q323" s="18" t="s">
        <v>32</v>
      </c>
      <c r="R323" t="s">
        <v>66</v>
      </c>
    </row>
    <row r="324" spans="1:18" x14ac:dyDescent="0.3">
      <c r="A324" s="18">
        <v>200</v>
      </c>
      <c r="B324" s="18">
        <v>1800</v>
      </c>
      <c r="C324" s="18">
        <v>30</v>
      </c>
      <c r="D324" s="18">
        <v>120</v>
      </c>
      <c r="E324" s="18">
        <v>70</v>
      </c>
      <c r="F324" s="18" t="s">
        <v>64</v>
      </c>
      <c r="G324" s="18">
        <v>67</v>
      </c>
      <c r="H324" s="18">
        <f t="shared" si="7"/>
        <v>111.1111111111111</v>
      </c>
      <c r="I324" s="18">
        <v>30.9</v>
      </c>
      <c r="N324" s="18">
        <v>96.6</v>
      </c>
      <c r="O324" s="26" t="s">
        <v>78</v>
      </c>
      <c r="P324" s="18" t="s">
        <v>31</v>
      </c>
      <c r="Q324" s="18" t="s">
        <v>58</v>
      </c>
      <c r="R324" t="s">
        <v>66</v>
      </c>
    </row>
    <row r="325" spans="1:18" x14ac:dyDescent="0.3">
      <c r="A325" s="18">
        <v>200</v>
      </c>
      <c r="B325" s="18">
        <v>2200</v>
      </c>
      <c r="C325" s="18">
        <v>30</v>
      </c>
      <c r="D325" s="18">
        <v>120</v>
      </c>
      <c r="E325" s="18">
        <v>70</v>
      </c>
      <c r="F325" s="18" t="s">
        <v>64</v>
      </c>
      <c r="G325" s="18">
        <v>67</v>
      </c>
      <c r="H325" s="18">
        <f t="shared" si="7"/>
        <v>90.909090909090907</v>
      </c>
      <c r="I325" s="18">
        <v>25.3</v>
      </c>
      <c r="N325" s="18">
        <v>94.23</v>
      </c>
      <c r="O325" s="26" t="s">
        <v>79</v>
      </c>
      <c r="P325" s="18" t="s">
        <v>31</v>
      </c>
      <c r="Q325" s="18" t="s">
        <v>32</v>
      </c>
      <c r="R325" t="s">
        <v>66</v>
      </c>
    </row>
    <row r="326" spans="1:18" x14ac:dyDescent="0.3">
      <c r="A326" s="18">
        <v>200</v>
      </c>
      <c r="B326" s="18">
        <v>2600</v>
      </c>
      <c r="C326" s="18">
        <v>30</v>
      </c>
      <c r="D326" s="18">
        <v>120</v>
      </c>
      <c r="E326" s="18">
        <v>70</v>
      </c>
      <c r="F326" s="18" t="s">
        <v>64</v>
      </c>
      <c r="G326" s="18">
        <v>67</v>
      </c>
      <c r="H326" s="18">
        <f t="shared" si="7"/>
        <v>76.923076923076934</v>
      </c>
      <c r="I326" s="18">
        <v>21.4</v>
      </c>
      <c r="N326" s="18">
        <v>90.22</v>
      </c>
      <c r="O326" s="26" t="s">
        <v>80</v>
      </c>
      <c r="P326" s="18" t="s">
        <v>71</v>
      </c>
      <c r="Q326" s="18" t="s">
        <v>58</v>
      </c>
      <c r="R326" t="s">
        <v>66</v>
      </c>
    </row>
    <row r="327" spans="1:18" x14ac:dyDescent="0.3">
      <c r="A327" s="18">
        <v>275</v>
      </c>
      <c r="B327" s="18">
        <v>400</v>
      </c>
      <c r="C327" s="18">
        <v>30</v>
      </c>
      <c r="D327" s="18">
        <v>120</v>
      </c>
      <c r="E327" s="18">
        <v>70</v>
      </c>
      <c r="F327" s="18" t="s">
        <v>64</v>
      </c>
      <c r="G327" s="18">
        <v>67</v>
      </c>
      <c r="H327" s="18">
        <f t="shared" si="7"/>
        <v>687.5</v>
      </c>
      <c r="I327" s="18">
        <v>191</v>
      </c>
      <c r="N327" s="18">
        <v>98.74</v>
      </c>
      <c r="O327" s="26" t="s">
        <v>75</v>
      </c>
      <c r="P327" s="18" t="s">
        <v>71</v>
      </c>
      <c r="Q327" s="18" t="s">
        <v>32</v>
      </c>
      <c r="R327" t="s">
        <v>66</v>
      </c>
    </row>
    <row r="328" spans="1:18" x14ac:dyDescent="0.3">
      <c r="A328" s="18">
        <v>275</v>
      </c>
      <c r="B328" s="18">
        <v>600</v>
      </c>
      <c r="C328" s="18">
        <v>30</v>
      </c>
      <c r="D328" s="18">
        <v>120</v>
      </c>
      <c r="E328" s="18">
        <v>70</v>
      </c>
      <c r="F328" s="18" t="s">
        <v>64</v>
      </c>
      <c r="G328" s="18">
        <v>67</v>
      </c>
      <c r="H328" s="18">
        <f t="shared" si="7"/>
        <v>458.33333333333331</v>
      </c>
      <c r="I328" s="18">
        <v>127.3</v>
      </c>
      <c r="N328" s="18">
        <v>99.9</v>
      </c>
      <c r="O328" s="26" t="s">
        <v>81</v>
      </c>
      <c r="P328" s="18" t="s">
        <v>82</v>
      </c>
      <c r="Q328" s="18" t="s">
        <v>58</v>
      </c>
      <c r="R328" t="s">
        <v>66</v>
      </c>
    </row>
    <row r="329" spans="1:18" x14ac:dyDescent="0.3">
      <c r="A329" s="18">
        <v>275</v>
      </c>
      <c r="B329" s="18">
        <v>800</v>
      </c>
      <c r="C329" s="18">
        <v>30</v>
      </c>
      <c r="D329" s="18">
        <v>120</v>
      </c>
      <c r="E329" s="18">
        <v>70</v>
      </c>
      <c r="F329" s="18" t="s">
        <v>64</v>
      </c>
      <c r="G329" s="18">
        <v>67</v>
      </c>
      <c r="H329" s="18">
        <f t="shared" si="7"/>
        <v>343.75</v>
      </c>
      <c r="I329" s="18">
        <v>95.5</v>
      </c>
      <c r="N329" s="18">
        <v>99.91</v>
      </c>
      <c r="O329" s="26" t="s">
        <v>83</v>
      </c>
      <c r="P329" s="18" t="s">
        <v>82</v>
      </c>
      <c r="Q329" s="18" t="s">
        <v>32</v>
      </c>
      <c r="R329" t="s">
        <v>66</v>
      </c>
    </row>
    <row r="330" spans="1:18" x14ac:dyDescent="0.3">
      <c r="A330" s="18">
        <v>275</v>
      </c>
      <c r="B330" s="18">
        <v>1000</v>
      </c>
      <c r="C330" s="18">
        <v>30</v>
      </c>
      <c r="D330" s="18">
        <v>120</v>
      </c>
      <c r="E330" s="18">
        <v>70</v>
      </c>
      <c r="F330" s="18" t="s">
        <v>64</v>
      </c>
      <c r="G330" s="18">
        <v>67</v>
      </c>
      <c r="H330" s="18">
        <f t="shared" si="7"/>
        <v>275</v>
      </c>
      <c r="I330" s="18">
        <v>76.400000000000006</v>
      </c>
      <c r="N330" s="18">
        <v>99.98</v>
      </c>
      <c r="O330" s="26" t="s">
        <v>84</v>
      </c>
      <c r="P330" s="18" t="s">
        <v>82</v>
      </c>
      <c r="Q330" s="18" t="s">
        <v>58</v>
      </c>
      <c r="R330" t="s">
        <v>66</v>
      </c>
    </row>
    <row r="331" spans="1:18" x14ac:dyDescent="0.3">
      <c r="A331" s="18">
        <v>275</v>
      </c>
      <c r="B331" s="18">
        <v>1200</v>
      </c>
      <c r="C331" s="18">
        <v>30</v>
      </c>
      <c r="D331" s="18">
        <v>120</v>
      </c>
      <c r="E331" s="18">
        <v>70</v>
      </c>
      <c r="F331" s="18" t="s">
        <v>64</v>
      </c>
      <c r="G331" s="18">
        <v>67</v>
      </c>
      <c r="H331" s="18">
        <f t="shared" si="7"/>
        <v>229.16666666666666</v>
      </c>
      <c r="I331" s="18">
        <v>63.7</v>
      </c>
      <c r="N331" s="18">
        <v>99.77</v>
      </c>
      <c r="O331" s="26" t="s">
        <v>85</v>
      </c>
      <c r="P331" s="18" t="s">
        <v>82</v>
      </c>
      <c r="Q331" s="18" t="s">
        <v>32</v>
      </c>
      <c r="R331" t="s">
        <v>66</v>
      </c>
    </row>
    <row r="332" spans="1:18" x14ac:dyDescent="0.3">
      <c r="A332" s="18">
        <v>275</v>
      </c>
      <c r="B332" s="18">
        <v>1400</v>
      </c>
      <c r="C332" s="18">
        <v>30</v>
      </c>
      <c r="D332" s="18">
        <v>120</v>
      </c>
      <c r="E332" s="18">
        <v>70</v>
      </c>
      <c r="F332" s="18" t="s">
        <v>64</v>
      </c>
      <c r="G332" s="18">
        <v>67</v>
      </c>
      <c r="H332" s="18">
        <f t="shared" si="7"/>
        <v>196.42857142857142</v>
      </c>
      <c r="I332" s="18">
        <v>54.6</v>
      </c>
      <c r="N332" s="18">
        <v>99.87</v>
      </c>
      <c r="O332" s="26" t="s">
        <v>86</v>
      </c>
      <c r="P332" s="18" t="s">
        <v>27</v>
      </c>
      <c r="Q332" s="18" t="s">
        <v>58</v>
      </c>
      <c r="R332" t="s">
        <v>66</v>
      </c>
    </row>
    <row r="333" spans="1:18" x14ac:dyDescent="0.3">
      <c r="A333" s="18">
        <v>275</v>
      </c>
      <c r="B333" s="18">
        <v>1800</v>
      </c>
      <c r="C333" s="18">
        <v>30</v>
      </c>
      <c r="D333" s="18">
        <v>120</v>
      </c>
      <c r="E333" s="18">
        <v>70</v>
      </c>
      <c r="F333" s="18" t="s">
        <v>64</v>
      </c>
      <c r="G333" s="18">
        <v>67</v>
      </c>
      <c r="H333" s="18">
        <f t="shared" si="7"/>
        <v>152.7777777777778</v>
      </c>
      <c r="I333" s="18">
        <v>42.4</v>
      </c>
      <c r="N333" s="18">
        <v>99.62</v>
      </c>
      <c r="O333" s="26" t="s">
        <v>87</v>
      </c>
      <c r="P333" s="18" t="s">
        <v>27</v>
      </c>
      <c r="Q333" s="18" t="s">
        <v>32</v>
      </c>
      <c r="R333" t="s">
        <v>66</v>
      </c>
    </row>
    <row r="334" spans="1:18" x14ac:dyDescent="0.3">
      <c r="A334" s="18">
        <v>275</v>
      </c>
      <c r="B334" s="18">
        <v>2200</v>
      </c>
      <c r="C334" s="18">
        <v>30</v>
      </c>
      <c r="D334" s="18">
        <v>120</v>
      </c>
      <c r="E334" s="18">
        <v>70</v>
      </c>
      <c r="F334" s="18" t="s">
        <v>64</v>
      </c>
      <c r="G334" s="18">
        <v>67</v>
      </c>
      <c r="H334" s="18">
        <f t="shared" si="7"/>
        <v>125</v>
      </c>
      <c r="I334" s="18">
        <v>34.700000000000003</v>
      </c>
      <c r="N334" s="18">
        <v>99.09</v>
      </c>
      <c r="O334" s="26" t="s">
        <v>88</v>
      </c>
      <c r="P334" s="18" t="s">
        <v>89</v>
      </c>
      <c r="Q334" s="18" t="s">
        <v>58</v>
      </c>
      <c r="R334" t="s">
        <v>66</v>
      </c>
    </row>
    <row r="335" spans="1:18" x14ac:dyDescent="0.3">
      <c r="A335" s="18">
        <v>275</v>
      </c>
      <c r="B335" s="18">
        <v>2600</v>
      </c>
      <c r="C335" s="18">
        <v>30</v>
      </c>
      <c r="D335" s="18">
        <v>120</v>
      </c>
      <c r="E335" s="18">
        <v>70</v>
      </c>
      <c r="F335" s="18" t="s">
        <v>64</v>
      </c>
      <c r="G335" s="18">
        <v>67</v>
      </c>
      <c r="H335" s="18">
        <f t="shared" si="7"/>
        <v>105.76923076923077</v>
      </c>
      <c r="I335" s="18">
        <v>29.4</v>
      </c>
      <c r="N335" s="18">
        <v>96.55</v>
      </c>
      <c r="O335" s="26" t="s">
        <v>90</v>
      </c>
      <c r="P335" s="18" t="s">
        <v>89</v>
      </c>
      <c r="Q335" s="18" t="s">
        <v>32</v>
      </c>
      <c r="R335" t="s">
        <v>66</v>
      </c>
    </row>
    <row r="336" spans="1:18" x14ac:dyDescent="0.3">
      <c r="A336" s="18">
        <v>275</v>
      </c>
      <c r="B336" s="18">
        <v>3000</v>
      </c>
      <c r="C336" s="18">
        <v>30</v>
      </c>
      <c r="D336" s="18">
        <v>120</v>
      </c>
      <c r="E336" s="18">
        <v>70</v>
      </c>
      <c r="F336" s="18" t="s">
        <v>64</v>
      </c>
      <c r="G336" s="18">
        <v>67</v>
      </c>
      <c r="H336" s="18">
        <f t="shared" si="7"/>
        <v>91.666666666666657</v>
      </c>
      <c r="I336" s="18">
        <v>25.5</v>
      </c>
      <c r="N336" s="18">
        <v>93.52</v>
      </c>
      <c r="R336" t="s">
        <v>66</v>
      </c>
    </row>
    <row r="337" spans="1:18" x14ac:dyDescent="0.3">
      <c r="A337" s="18">
        <v>350</v>
      </c>
      <c r="B337" s="18">
        <v>600</v>
      </c>
      <c r="C337" s="18">
        <v>30</v>
      </c>
      <c r="D337" s="18">
        <v>120</v>
      </c>
      <c r="E337" s="18">
        <v>70</v>
      </c>
      <c r="F337" s="18" t="s">
        <v>64</v>
      </c>
      <c r="G337" s="18">
        <v>67</v>
      </c>
      <c r="H337" s="18">
        <f t="shared" si="7"/>
        <v>583.33333333333337</v>
      </c>
      <c r="I337" s="18">
        <v>162</v>
      </c>
      <c r="N337" s="18">
        <v>99.74</v>
      </c>
      <c r="R337" t="s">
        <v>66</v>
      </c>
    </row>
    <row r="338" spans="1:18" x14ac:dyDescent="0.3">
      <c r="A338" s="18">
        <v>350</v>
      </c>
      <c r="B338" s="18">
        <v>800</v>
      </c>
      <c r="C338" s="18">
        <v>30</v>
      </c>
      <c r="D338" s="18">
        <v>120</v>
      </c>
      <c r="E338" s="18">
        <v>70</v>
      </c>
      <c r="F338" s="18" t="s">
        <v>64</v>
      </c>
      <c r="G338" s="18">
        <v>67</v>
      </c>
      <c r="H338" s="18">
        <f t="shared" si="7"/>
        <v>437.5</v>
      </c>
      <c r="I338" s="18">
        <v>121.5</v>
      </c>
      <c r="N338" s="18">
        <v>99.93</v>
      </c>
      <c r="R338" t="s">
        <v>66</v>
      </c>
    </row>
    <row r="339" spans="1:18" x14ac:dyDescent="0.3">
      <c r="A339" s="18">
        <v>350</v>
      </c>
      <c r="B339" s="18">
        <v>1000</v>
      </c>
      <c r="C339" s="18">
        <v>30</v>
      </c>
      <c r="D339" s="18">
        <v>120</v>
      </c>
      <c r="E339" s="18">
        <v>70</v>
      </c>
      <c r="F339" s="18" t="s">
        <v>64</v>
      </c>
      <c r="G339" s="18">
        <v>67</v>
      </c>
      <c r="H339" s="18">
        <f t="shared" si="7"/>
        <v>350</v>
      </c>
      <c r="I339" s="18">
        <v>97.2</v>
      </c>
      <c r="N339" s="18">
        <v>99.9</v>
      </c>
      <c r="R339" t="s">
        <v>66</v>
      </c>
    </row>
    <row r="340" spans="1:18" x14ac:dyDescent="0.3">
      <c r="A340" s="18">
        <v>350</v>
      </c>
      <c r="B340" s="18">
        <v>1200</v>
      </c>
      <c r="C340" s="18">
        <v>30</v>
      </c>
      <c r="D340" s="18">
        <v>120</v>
      </c>
      <c r="E340" s="18">
        <v>70</v>
      </c>
      <c r="F340" s="18" t="s">
        <v>64</v>
      </c>
      <c r="G340" s="18">
        <v>67</v>
      </c>
      <c r="H340" s="18">
        <f t="shared" si="7"/>
        <v>291.66666666666669</v>
      </c>
      <c r="I340" s="18">
        <v>81</v>
      </c>
      <c r="N340" s="18">
        <v>99.98</v>
      </c>
      <c r="R340" t="s">
        <v>66</v>
      </c>
    </row>
    <row r="341" spans="1:18" x14ac:dyDescent="0.3">
      <c r="A341" s="18">
        <v>350</v>
      </c>
      <c r="B341" s="18">
        <v>1400</v>
      </c>
      <c r="C341" s="18">
        <v>30</v>
      </c>
      <c r="D341" s="18">
        <v>120</v>
      </c>
      <c r="E341" s="18">
        <v>70</v>
      </c>
      <c r="F341" s="18" t="s">
        <v>64</v>
      </c>
      <c r="G341" s="18">
        <v>67</v>
      </c>
      <c r="H341" s="18">
        <f t="shared" si="7"/>
        <v>250</v>
      </c>
      <c r="I341" s="18">
        <v>69.400000000000006</v>
      </c>
      <c r="N341" s="18">
        <v>99.78</v>
      </c>
      <c r="R341" t="s">
        <v>66</v>
      </c>
    </row>
    <row r="342" spans="1:18" x14ac:dyDescent="0.3">
      <c r="A342" s="18">
        <v>350</v>
      </c>
      <c r="B342" s="18">
        <v>1800</v>
      </c>
      <c r="C342" s="18">
        <v>30</v>
      </c>
      <c r="D342" s="18">
        <v>120</v>
      </c>
      <c r="E342" s="18">
        <v>70</v>
      </c>
      <c r="F342" s="18" t="s">
        <v>64</v>
      </c>
      <c r="G342" s="18">
        <v>67</v>
      </c>
      <c r="H342" s="18">
        <f t="shared" si="7"/>
        <v>194.44444444444446</v>
      </c>
      <c r="I342" s="18">
        <v>54</v>
      </c>
      <c r="N342" s="18">
        <v>99.71</v>
      </c>
      <c r="R342" t="s">
        <v>66</v>
      </c>
    </row>
    <row r="343" spans="1:18" x14ac:dyDescent="0.3">
      <c r="A343" s="18">
        <v>350</v>
      </c>
      <c r="B343" s="18">
        <v>2200</v>
      </c>
      <c r="C343" s="18">
        <v>30</v>
      </c>
      <c r="D343" s="18">
        <v>120</v>
      </c>
      <c r="E343" s="18">
        <v>70</v>
      </c>
      <c r="F343" s="18" t="s">
        <v>64</v>
      </c>
      <c r="G343" s="18">
        <v>67</v>
      </c>
      <c r="H343" s="18">
        <f t="shared" si="7"/>
        <v>159.09090909090909</v>
      </c>
      <c r="I343" s="18">
        <v>44.1</v>
      </c>
      <c r="N343" s="18">
        <v>99.46</v>
      </c>
      <c r="R343" t="s">
        <v>66</v>
      </c>
    </row>
    <row r="344" spans="1:18" x14ac:dyDescent="0.3">
      <c r="A344" s="18">
        <v>350</v>
      </c>
      <c r="B344" s="18">
        <v>2600</v>
      </c>
      <c r="C344" s="18">
        <v>30</v>
      </c>
      <c r="D344" s="18">
        <v>120</v>
      </c>
      <c r="E344" s="18">
        <v>70</v>
      </c>
      <c r="F344" s="18" t="s">
        <v>64</v>
      </c>
      <c r="G344" s="18">
        <v>67</v>
      </c>
      <c r="H344" s="18">
        <f t="shared" si="7"/>
        <v>134.61538461538461</v>
      </c>
      <c r="I344" s="18">
        <v>37.4</v>
      </c>
      <c r="N344" s="18">
        <v>95.09</v>
      </c>
      <c r="R344" t="s">
        <v>66</v>
      </c>
    </row>
    <row r="345" spans="1:18" x14ac:dyDescent="0.3">
      <c r="A345" s="18">
        <v>350</v>
      </c>
      <c r="B345" s="18">
        <v>3000</v>
      </c>
      <c r="C345" s="18">
        <v>30</v>
      </c>
      <c r="D345" s="18">
        <v>120</v>
      </c>
      <c r="E345" s="18">
        <v>70</v>
      </c>
      <c r="F345" s="18" t="s">
        <v>64</v>
      </c>
      <c r="G345" s="18">
        <v>67</v>
      </c>
      <c r="H345" s="18">
        <f t="shared" si="7"/>
        <v>116.66666666666667</v>
      </c>
      <c r="I345" s="18">
        <v>32.4</v>
      </c>
      <c r="N345" s="18">
        <v>94.4</v>
      </c>
      <c r="R345" t="s">
        <v>66</v>
      </c>
    </row>
    <row r="346" spans="1:18" x14ac:dyDescent="0.3">
      <c r="A346" s="18">
        <v>350</v>
      </c>
      <c r="B346" s="18">
        <v>3400</v>
      </c>
      <c r="C346" s="18">
        <v>30</v>
      </c>
      <c r="D346" s="18">
        <v>120</v>
      </c>
      <c r="E346" s="18">
        <v>70</v>
      </c>
      <c r="F346" s="18" t="s">
        <v>64</v>
      </c>
      <c r="G346" s="18">
        <v>67</v>
      </c>
      <c r="H346" s="18">
        <f t="shared" si="7"/>
        <v>102.94117647058823</v>
      </c>
      <c r="I346" s="18">
        <v>28.6</v>
      </c>
      <c r="N346" s="18">
        <v>94.9</v>
      </c>
      <c r="R346" t="s">
        <v>66</v>
      </c>
    </row>
    <row r="347" spans="1:18" x14ac:dyDescent="0.3">
      <c r="A347" s="18">
        <v>200</v>
      </c>
      <c r="B347" s="18">
        <v>800</v>
      </c>
      <c r="C347" s="18">
        <v>30</v>
      </c>
      <c r="D347" s="18">
        <v>80</v>
      </c>
      <c r="E347" s="18">
        <v>70</v>
      </c>
      <c r="F347" s="18" t="s">
        <v>64</v>
      </c>
      <c r="G347" s="18">
        <v>67</v>
      </c>
      <c r="H347" s="18">
        <f t="shared" si="7"/>
        <v>250</v>
      </c>
      <c r="I347" s="18">
        <v>104.2</v>
      </c>
      <c r="N347" s="18">
        <v>99.98</v>
      </c>
      <c r="R347" t="s">
        <v>66</v>
      </c>
    </row>
    <row r="348" spans="1:18" x14ac:dyDescent="0.3">
      <c r="A348" s="18">
        <v>200</v>
      </c>
      <c r="B348" s="18">
        <v>800</v>
      </c>
      <c r="C348" s="18">
        <v>30</v>
      </c>
      <c r="D348" s="18">
        <v>100</v>
      </c>
      <c r="E348" s="18">
        <v>70</v>
      </c>
      <c r="F348" s="18" t="s">
        <v>64</v>
      </c>
      <c r="G348" s="18">
        <v>67</v>
      </c>
      <c r="H348" s="18">
        <f t="shared" si="7"/>
        <v>250</v>
      </c>
      <c r="I348" s="18">
        <v>83.3</v>
      </c>
      <c r="N348" s="18">
        <v>99.99</v>
      </c>
      <c r="R348" t="s">
        <v>66</v>
      </c>
    </row>
    <row r="349" spans="1:18" x14ac:dyDescent="0.3">
      <c r="A349" s="18">
        <v>200</v>
      </c>
      <c r="B349" s="18">
        <v>800</v>
      </c>
      <c r="C349" s="18">
        <v>30</v>
      </c>
      <c r="D349" s="18">
        <v>120</v>
      </c>
      <c r="E349" s="18">
        <v>70</v>
      </c>
      <c r="F349" s="18" t="s">
        <v>64</v>
      </c>
      <c r="G349" s="18">
        <v>67</v>
      </c>
      <c r="H349" s="18">
        <f t="shared" si="7"/>
        <v>250</v>
      </c>
      <c r="I349" s="18">
        <v>69.400000000000006</v>
      </c>
      <c r="N349" s="18">
        <v>99.97</v>
      </c>
      <c r="R349" t="s">
        <v>66</v>
      </c>
    </row>
    <row r="350" spans="1:18" x14ac:dyDescent="0.3">
      <c r="A350" s="18">
        <v>200</v>
      </c>
      <c r="B350" s="18">
        <v>800</v>
      </c>
      <c r="C350" s="18">
        <v>30</v>
      </c>
      <c r="D350" s="18">
        <v>140</v>
      </c>
      <c r="E350" s="18">
        <v>70</v>
      </c>
      <c r="F350" s="18" t="s">
        <v>64</v>
      </c>
      <c r="G350" s="18">
        <v>67</v>
      </c>
      <c r="H350" s="18">
        <f t="shared" si="7"/>
        <v>250</v>
      </c>
      <c r="I350" s="18">
        <v>59.5</v>
      </c>
      <c r="N350" s="18">
        <v>99.91</v>
      </c>
      <c r="R350" t="s">
        <v>66</v>
      </c>
    </row>
    <row r="351" spans="1:18" x14ac:dyDescent="0.3">
      <c r="A351" s="18">
        <v>200</v>
      </c>
      <c r="B351" s="18">
        <v>800</v>
      </c>
      <c r="C351" s="18">
        <v>30</v>
      </c>
      <c r="D351" s="18">
        <v>160</v>
      </c>
      <c r="E351" s="18">
        <v>70</v>
      </c>
      <c r="F351" s="18" t="s">
        <v>64</v>
      </c>
      <c r="G351" s="18">
        <v>67</v>
      </c>
      <c r="H351" s="18">
        <f t="shared" si="7"/>
        <v>250</v>
      </c>
      <c r="I351" s="18">
        <v>52.1</v>
      </c>
      <c r="N351" s="18">
        <v>99.84</v>
      </c>
      <c r="R351" t="s">
        <v>66</v>
      </c>
    </row>
    <row r="352" spans="1:18" x14ac:dyDescent="0.3">
      <c r="A352" s="18">
        <v>190</v>
      </c>
      <c r="B352" s="18">
        <v>600</v>
      </c>
      <c r="C352" s="18">
        <v>30</v>
      </c>
      <c r="D352" s="18">
        <v>90</v>
      </c>
      <c r="E352" s="18">
        <v>138</v>
      </c>
      <c r="F352" s="18" t="s">
        <v>91</v>
      </c>
      <c r="G352" s="18">
        <v>67</v>
      </c>
      <c r="H352" s="18">
        <f t="shared" si="7"/>
        <v>316.66666666666663</v>
      </c>
      <c r="I352" s="18">
        <v>117.28</v>
      </c>
      <c r="K352" s="18">
        <v>242.06</v>
      </c>
      <c r="M352" s="18">
        <v>736.72</v>
      </c>
      <c r="O352" s="26" t="s">
        <v>92</v>
      </c>
      <c r="P352" s="18" t="s">
        <v>71</v>
      </c>
      <c r="Q352" s="18" t="s">
        <v>58</v>
      </c>
      <c r="R352" t="s">
        <v>93</v>
      </c>
    </row>
    <row r="353" spans="1:18" x14ac:dyDescent="0.3">
      <c r="A353" s="18">
        <v>190</v>
      </c>
      <c r="B353" s="18">
        <v>700</v>
      </c>
      <c r="C353" s="18">
        <v>30</v>
      </c>
      <c r="D353" s="18">
        <v>90</v>
      </c>
      <c r="E353" s="18">
        <v>138</v>
      </c>
      <c r="F353" s="18" t="s">
        <v>91</v>
      </c>
      <c r="G353" s="18">
        <v>67</v>
      </c>
      <c r="H353" s="18">
        <f t="shared" si="7"/>
        <v>271.42857142857139</v>
      </c>
      <c r="I353" s="18">
        <v>100.53</v>
      </c>
      <c r="K353" s="18">
        <v>250.1</v>
      </c>
      <c r="M353" s="18">
        <v>734.1</v>
      </c>
      <c r="O353" s="26" t="s">
        <v>94</v>
      </c>
      <c r="P353" s="18" t="s">
        <v>71</v>
      </c>
      <c r="Q353" s="18" t="s">
        <v>32</v>
      </c>
      <c r="R353" t="s">
        <v>93</v>
      </c>
    </row>
    <row r="354" spans="1:18" x14ac:dyDescent="0.3">
      <c r="A354" s="18">
        <v>190</v>
      </c>
      <c r="B354" s="18">
        <v>800</v>
      </c>
      <c r="C354" s="18">
        <v>30</v>
      </c>
      <c r="D354" s="18">
        <v>90</v>
      </c>
      <c r="E354" s="18">
        <v>138</v>
      </c>
      <c r="F354" s="18" t="s">
        <v>91</v>
      </c>
      <c r="G354" s="18">
        <v>67</v>
      </c>
      <c r="H354" s="18">
        <f t="shared" si="7"/>
        <v>237.5</v>
      </c>
      <c r="I354" s="18">
        <v>87.96</v>
      </c>
      <c r="K354" s="18">
        <v>242.87</v>
      </c>
      <c r="M354" s="18">
        <v>724.01</v>
      </c>
      <c r="O354" s="26" t="s">
        <v>95</v>
      </c>
      <c r="P354" s="18" t="s">
        <v>71</v>
      </c>
      <c r="Q354" s="18" t="s">
        <v>58</v>
      </c>
      <c r="R354" t="s">
        <v>93</v>
      </c>
    </row>
    <row r="355" spans="1:18" x14ac:dyDescent="0.3">
      <c r="A355" s="18">
        <v>190</v>
      </c>
      <c r="B355" s="18">
        <v>900</v>
      </c>
      <c r="C355" s="18">
        <v>30</v>
      </c>
      <c r="D355" s="18">
        <v>90</v>
      </c>
      <c r="E355" s="18">
        <v>138</v>
      </c>
      <c r="F355" s="18" t="s">
        <v>91</v>
      </c>
      <c r="G355" s="18">
        <v>67</v>
      </c>
      <c r="H355" s="18">
        <f t="shared" si="7"/>
        <v>211.11111111111111</v>
      </c>
      <c r="I355" s="18">
        <v>78.19</v>
      </c>
      <c r="K355" s="18">
        <v>240.47</v>
      </c>
      <c r="M355" s="18">
        <v>722.1</v>
      </c>
      <c r="O355" s="26" t="s">
        <v>96</v>
      </c>
      <c r="P355" s="18" t="s">
        <v>71</v>
      </c>
      <c r="Q355" s="18" t="s">
        <v>32</v>
      </c>
      <c r="R355" t="s">
        <v>93</v>
      </c>
    </row>
    <row r="356" spans="1:18" x14ac:dyDescent="0.3">
      <c r="A356" s="18">
        <v>170</v>
      </c>
      <c r="B356" s="18">
        <v>600</v>
      </c>
      <c r="C356" s="18">
        <v>30</v>
      </c>
      <c r="D356" s="18">
        <v>90</v>
      </c>
      <c r="E356" s="18">
        <v>138</v>
      </c>
      <c r="F356" s="18" t="s">
        <v>91</v>
      </c>
      <c r="G356" s="18">
        <v>67</v>
      </c>
      <c r="H356" s="18">
        <f t="shared" si="7"/>
        <v>283.33333333333331</v>
      </c>
      <c r="I356" s="18">
        <v>104.94</v>
      </c>
      <c r="K356" s="18">
        <v>248.17</v>
      </c>
      <c r="M356" s="18">
        <v>727.7</v>
      </c>
      <c r="O356" s="26" t="s">
        <v>97</v>
      </c>
      <c r="P356" s="18" t="s">
        <v>71</v>
      </c>
      <c r="Q356" s="18" t="s">
        <v>58</v>
      </c>
      <c r="R356" t="s">
        <v>93</v>
      </c>
    </row>
    <row r="357" spans="1:18" x14ac:dyDescent="0.3">
      <c r="A357" s="18">
        <v>170</v>
      </c>
      <c r="B357" s="18">
        <v>700</v>
      </c>
      <c r="C357" s="18">
        <v>30</v>
      </c>
      <c r="D357" s="18">
        <v>90</v>
      </c>
      <c r="E357" s="18">
        <v>138</v>
      </c>
      <c r="F357" s="18" t="s">
        <v>91</v>
      </c>
      <c r="G357" s="18">
        <v>67</v>
      </c>
      <c r="H357" s="18">
        <f t="shared" si="7"/>
        <v>242.85714285714286</v>
      </c>
      <c r="I357" s="18">
        <v>89.95</v>
      </c>
      <c r="K357" s="18">
        <v>243.74</v>
      </c>
      <c r="M357" s="18">
        <v>723.81</v>
      </c>
      <c r="O357" s="26" t="s">
        <v>98</v>
      </c>
      <c r="P357" s="18" t="s">
        <v>71</v>
      </c>
      <c r="Q357" s="18" t="s">
        <v>32</v>
      </c>
      <c r="R357" t="s">
        <v>93</v>
      </c>
    </row>
    <row r="358" spans="1:18" x14ac:dyDescent="0.3">
      <c r="A358" s="18">
        <v>170</v>
      </c>
      <c r="B358" s="18">
        <v>800</v>
      </c>
      <c r="C358" s="18">
        <v>30</v>
      </c>
      <c r="D358" s="18">
        <v>90</v>
      </c>
      <c r="E358" s="18">
        <v>138</v>
      </c>
      <c r="F358" s="18" t="s">
        <v>91</v>
      </c>
      <c r="G358" s="18">
        <v>67</v>
      </c>
      <c r="H358" s="18">
        <f t="shared" si="7"/>
        <v>212.5</v>
      </c>
      <c r="I358" s="18">
        <v>78.7</v>
      </c>
      <c r="K358" s="18">
        <v>240.93</v>
      </c>
      <c r="M358" s="18">
        <v>723.53</v>
      </c>
      <c r="O358" s="26" t="s">
        <v>99</v>
      </c>
      <c r="P358" s="18" t="s">
        <v>71</v>
      </c>
      <c r="Q358" s="18" t="s">
        <v>58</v>
      </c>
      <c r="R358" t="s">
        <v>93</v>
      </c>
    </row>
    <row r="359" spans="1:18" x14ac:dyDescent="0.3">
      <c r="A359" s="18">
        <v>170</v>
      </c>
      <c r="B359" s="18">
        <v>900</v>
      </c>
      <c r="C359" s="18">
        <v>30</v>
      </c>
      <c r="D359" s="18">
        <v>90</v>
      </c>
      <c r="E359" s="18">
        <v>138</v>
      </c>
      <c r="F359" s="18" t="s">
        <v>91</v>
      </c>
      <c r="G359" s="18">
        <v>67</v>
      </c>
      <c r="H359" s="18">
        <f t="shared" si="7"/>
        <v>188.88888888888889</v>
      </c>
      <c r="I359" s="18">
        <v>69.959999999999994</v>
      </c>
      <c r="K359" s="18">
        <v>222.03</v>
      </c>
      <c r="M359" s="18">
        <v>718.8</v>
      </c>
      <c r="O359" s="26" t="s">
        <v>100</v>
      </c>
      <c r="P359" s="18" t="s">
        <v>71</v>
      </c>
      <c r="Q359" s="18" t="s">
        <v>32</v>
      </c>
      <c r="R359" t="s">
        <v>93</v>
      </c>
    </row>
    <row r="360" spans="1:18" x14ac:dyDescent="0.3">
      <c r="A360" s="18">
        <v>140</v>
      </c>
      <c r="B360" s="18">
        <v>600</v>
      </c>
      <c r="C360" s="18">
        <v>30</v>
      </c>
      <c r="D360" s="18">
        <v>90</v>
      </c>
      <c r="E360" s="18">
        <v>138</v>
      </c>
      <c r="F360" s="18" t="s">
        <v>91</v>
      </c>
      <c r="G360" s="18">
        <v>67</v>
      </c>
      <c r="H360" s="18">
        <f t="shared" si="7"/>
        <v>233.33333333333334</v>
      </c>
      <c r="I360" s="18">
        <v>86.42</v>
      </c>
      <c r="K360" s="18">
        <v>224.87</v>
      </c>
      <c r="M360" s="18">
        <v>707.1</v>
      </c>
      <c r="R360" t="s">
        <v>93</v>
      </c>
    </row>
    <row r="361" spans="1:18" x14ac:dyDescent="0.3">
      <c r="A361" s="18">
        <v>140</v>
      </c>
      <c r="B361" s="18">
        <v>700</v>
      </c>
      <c r="C361" s="18">
        <v>30</v>
      </c>
      <c r="D361" s="18">
        <v>90</v>
      </c>
      <c r="E361" s="18">
        <v>138</v>
      </c>
      <c r="F361" s="18" t="s">
        <v>91</v>
      </c>
      <c r="G361" s="18">
        <v>67</v>
      </c>
      <c r="H361" s="18">
        <f t="shared" si="7"/>
        <v>200</v>
      </c>
      <c r="I361" s="18">
        <v>74.069999999999993</v>
      </c>
      <c r="K361" s="18">
        <v>218.73</v>
      </c>
      <c r="M361" s="18">
        <v>699.88</v>
      </c>
      <c r="R361" t="s">
        <v>93</v>
      </c>
    </row>
    <row r="362" spans="1:18" x14ac:dyDescent="0.3">
      <c r="A362" s="18">
        <v>140</v>
      </c>
      <c r="B362" s="18">
        <v>800</v>
      </c>
      <c r="C362" s="18">
        <v>30</v>
      </c>
      <c r="D362" s="18">
        <v>90</v>
      </c>
      <c r="E362" s="18">
        <v>138</v>
      </c>
      <c r="F362" s="18" t="s">
        <v>91</v>
      </c>
      <c r="G362" s="18">
        <v>67</v>
      </c>
      <c r="H362" s="18">
        <f t="shared" si="7"/>
        <v>175</v>
      </c>
      <c r="I362" s="18">
        <v>64.81</v>
      </c>
      <c r="K362" s="18">
        <v>223.23</v>
      </c>
      <c r="M362" s="18">
        <v>695</v>
      </c>
      <c r="R362" t="s">
        <v>93</v>
      </c>
    </row>
    <row r="363" spans="1:18" x14ac:dyDescent="0.3">
      <c r="A363" s="18">
        <v>140</v>
      </c>
      <c r="B363" s="18">
        <v>900</v>
      </c>
      <c r="C363" s="18">
        <v>30</v>
      </c>
      <c r="D363" s="18">
        <v>90</v>
      </c>
      <c r="E363" s="18">
        <v>138</v>
      </c>
      <c r="F363" s="18" t="s">
        <v>91</v>
      </c>
      <c r="G363" s="18">
        <v>67</v>
      </c>
      <c r="H363" s="18">
        <f t="shared" si="7"/>
        <v>155.55555555555557</v>
      </c>
      <c r="I363" s="18">
        <v>57.61</v>
      </c>
      <c r="K363" s="18">
        <v>225.36</v>
      </c>
      <c r="M363" s="18">
        <v>688.88</v>
      </c>
      <c r="R363" t="s">
        <v>93</v>
      </c>
    </row>
    <row r="364" spans="1:18" x14ac:dyDescent="0.3">
      <c r="A364" s="18">
        <v>260</v>
      </c>
      <c r="B364" s="18">
        <v>960</v>
      </c>
      <c r="C364" s="18">
        <v>30</v>
      </c>
      <c r="D364" s="18">
        <v>90</v>
      </c>
      <c r="F364" s="18" t="s">
        <v>64</v>
      </c>
      <c r="G364" s="18">
        <v>67</v>
      </c>
      <c r="H364" s="18">
        <f t="shared" si="7"/>
        <v>270.83333333333331</v>
      </c>
      <c r="I364" s="18">
        <v>100.3</v>
      </c>
      <c r="K364" s="18">
        <v>239.16</v>
      </c>
      <c r="L364" s="18">
        <v>458.18</v>
      </c>
      <c r="M364" s="18">
        <v>669.92</v>
      </c>
      <c r="N364" s="18">
        <v>99.2</v>
      </c>
      <c r="O364" s="26" t="s">
        <v>101</v>
      </c>
      <c r="P364" s="18" t="s">
        <v>27</v>
      </c>
      <c r="Q364" s="18" t="s">
        <v>58</v>
      </c>
      <c r="R364" t="s">
        <v>102</v>
      </c>
    </row>
    <row r="365" spans="1:18" x14ac:dyDescent="0.3">
      <c r="A365" s="18">
        <v>175</v>
      </c>
      <c r="B365" s="18">
        <v>668</v>
      </c>
      <c r="C365" s="18">
        <v>30</v>
      </c>
      <c r="D365" s="18">
        <v>120</v>
      </c>
      <c r="F365" s="18" t="s">
        <v>103</v>
      </c>
      <c r="G365" s="18">
        <v>79</v>
      </c>
      <c r="H365" s="18">
        <f t="shared" si="7"/>
        <v>261.9760479041916</v>
      </c>
      <c r="I365" s="18">
        <v>72.77</v>
      </c>
      <c r="L365" s="18">
        <v>550</v>
      </c>
      <c r="M365" s="18">
        <v>1016</v>
      </c>
      <c r="N365" s="18">
        <v>99.9</v>
      </c>
      <c r="O365" s="26" t="s">
        <v>104</v>
      </c>
      <c r="P365" s="18" t="s">
        <v>89</v>
      </c>
      <c r="Q365" s="18" t="s">
        <v>32</v>
      </c>
      <c r="R365" s="19" t="s">
        <v>105</v>
      </c>
    </row>
    <row r="366" spans="1:18" x14ac:dyDescent="0.3">
      <c r="A366" s="18">
        <v>175</v>
      </c>
      <c r="B366" s="18">
        <v>668</v>
      </c>
      <c r="C366" s="18">
        <v>30</v>
      </c>
      <c r="D366" s="18">
        <v>120</v>
      </c>
      <c r="F366" s="18" t="s">
        <v>18</v>
      </c>
      <c r="G366" s="18">
        <v>79</v>
      </c>
      <c r="H366" s="18">
        <f t="shared" si="7"/>
        <v>261.9760479041916</v>
      </c>
      <c r="I366" s="18">
        <v>72.77</v>
      </c>
      <c r="L366" s="18">
        <v>503</v>
      </c>
      <c r="M366" s="18">
        <v>983</v>
      </c>
      <c r="N366" s="18">
        <v>99.3</v>
      </c>
      <c r="O366" s="26" t="s">
        <v>106</v>
      </c>
      <c r="P366" s="18" t="s">
        <v>39</v>
      </c>
      <c r="Q366" s="18" t="s">
        <v>32</v>
      </c>
      <c r="R366" s="19" t="s">
        <v>105</v>
      </c>
    </row>
    <row r="367" spans="1:18" x14ac:dyDescent="0.3">
      <c r="A367" s="18">
        <v>175</v>
      </c>
      <c r="B367" s="18">
        <v>668</v>
      </c>
      <c r="C367" s="18">
        <v>30</v>
      </c>
      <c r="D367" s="18">
        <v>120</v>
      </c>
      <c r="F367" s="18" t="s">
        <v>107</v>
      </c>
      <c r="G367" s="18">
        <v>79</v>
      </c>
      <c r="H367" s="18">
        <f t="shared" si="7"/>
        <v>261.9760479041916</v>
      </c>
      <c r="I367" s="18">
        <v>72.77</v>
      </c>
      <c r="L367" s="18">
        <v>485</v>
      </c>
      <c r="M367" s="18">
        <v>980</v>
      </c>
      <c r="N367" s="18">
        <v>99</v>
      </c>
      <c r="O367" s="26" t="s">
        <v>108</v>
      </c>
      <c r="P367" s="18" t="s">
        <v>89</v>
      </c>
      <c r="Q367" s="18" t="s">
        <v>32</v>
      </c>
      <c r="R367" s="19" t="s">
        <v>105</v>
      </c>
    </row>
    <row r="368" spans="1:18" x14ac:dyDescent="0.3">
      <c r="A368" s="18">
        <v>175</v>
      </c>
      <c r="B368" s="18">
        <v>668</v>
      </c>
      <c r="C368" s="18">
        <v>30</v>
      </c>
      <c r="D368" s="18">
        <v>120</v>
      </c>
      <c r="F368" s="18" t="s">
        <v>109</v>
      </c>
      <c r="G368" s="18">
        <v>79</v>
      </c>
      <c r="H368" s="18">
        <f t="shared" si="7"/>
        <v>261.9760479041916</v>
      </c>
      <c r="I368" s="18">
        <v>72.77</v>
      </c>
      <c r="L368" s="18">
        <v>439</v>
      </c>
      <c r="M368" s="18">
        <v>675</v>
      </c>
      <c r="N368" s="18">
        <v>98</v>
      </c>
      <c r="O368" s="26" t="s">
        <v>110</v>
      </c>
      <c r="P368" s="18" t="s">
        <v>71</v>
      </c>
      <c r="Q368" s="18" t="s">
        <v>32</v>
      </c>
      <c r="R368" s="19" t="s">
        <v>105</v>
      </c>
    </row>
    <row r="369" spans="1:18" x14ac:dyDescent="0.3">
      <c r="A369" s="18">
        <v>300</v>
      </c>
      <c r="B369" s="18">
        <v>1000</v>
      </c>
      <c r="C369" s="18">
        <v>30</v>
      </c>
      <c r="D369" s="18">
        <v>80</v>
      </c>
      <c r="H369" s="18">
        <f t="shared" si="7"/>
        <v>300</v>
      </c>
      <c r="I369" s="18">
        <v>125</v>
      </c>
      <c r="K369" s="18">
        <v>281.60000000000002</v>
      </c>
      <c r="N369" s="18">
        <v>96.57</v>
      </c>
      <c r="O369" s="26" t="s">
        <v>111</v>
      </c>
      <c r="P369" s="18" t="s">
        <v>89</v>
      </c>
      <c r="Q369" s="18" t="s">
        <v>58</v>
      </c>
      <c r="R369" s="19" t="s">
        <v>112</v>
      </c>
    </row>
    <row r="370" spans="1:18" x14ac:dyDescent="0.3">
      <c r="A370" s="18">
        <v>300</v>
      </c>
      <c r="B370" s="18">
        <v>1200</v>
      </c>
      <c r="C370" s="18">
        <v>30</v>
      </c>
      <c r="D370" s="18">
        <v>80</v>
      </c>
      <c r="H370" s="18">
        <f t="shared" si="7"/>
        <v>250</v>
      </c>
      <c r="I370" s="18">
        <v>104.17</v>
      </c>
      <c r="K370" s="18">
        <v>260</v>
      </c>
      <c r="N370" s="18">
        <v>97.38</v>
      </c>
      <c r="O370" s="26" t="s">
        <v>113</v>
      </c>
      <c r="P370" s="18" t="s">
        <v>89</v>
      </c>
      <c r="Q370" s="18" t="s">
        <v>32</v>
      </c>
      <c r="R370" s="19" t="s">
        <v>112</v>
      </c>
    </row>
    <row r="371" spans="1:18" x14ac:dyDescent="0.3">
      <c r="A371" s="18">
        <v>180</v>
      </c>
      <c r="B371" s="18">
        <v>231</v>
      </c>
      <c r="C371" s="18">
        <v>50</v>
      </c>
      <c r="D371" s="18">
        <v>124</v>
      </c>
      <c r="H371" s="18">
        <f t="shared" si="7"/>
        <v>779.22077922077926</v>
      </c>
      <c r="I371" s="18">
        <v>125</v>
      </c>
      <c r="K371" s="18">
        <v>225</v>
      </c>
      <c r="N371" s="18">
        <v>97.46</v>
      </c>
      <c r="O371" s="26" t="s">
        <v>81</v>
      </c>
      <c r="P371" s="18" t="s">
        <v>27</v>
      </c>
      <c r="Q371" s="18" t="s">
        <v>58</v>
      </c>
      <c r="R371" s="19" t="s">
        <v>112</v>
      </c>
    </row>
    <row r="372" spans="1:18" x14ac:dyDescent="0.3">
      <c r="A372" s="18">
        <v>380</v>
      </c>
      <c r="B372" s="18">
        <v>650</v>
      </c>
      <c r="C372" s="18">
        <v>50</v>
      </c>
      <c r="D372" s="18">
        <v>120</v>
      </c>
      <c r="H372" s="18">
        <f t="shared" si="7"/>
        <v>584.61538461538464</v>
      </c>
      <c r="I372" s="18">
        <v>101.33</v>
      </c>
      <c r="K372" s="18">
        <v>213</v>
      </c>
      <c r="N372" s="18">
        <v>97.35</v>
      </c>
      <c r="O372" s="26" t="s">
        <v>114</v>
      </c>
      <c r="P372" s="18" t="s">
        <v>27</v>
      </c>
      <c r="Q372" s="18" t="s">
        <v>32</v>
      </c>
      <c r="R372" s="19" t="s">
        <v>112</v>
      </c>
    </row>
    <row r="373" spans="1:18" x14ac:dyDescent="0.3">
      <c r="A373" s="18">
        <v>380</v>
      </c>
      <c r="B373" s="18">
        <v>3000</v>
      </c>
      <c r="C373" s="18">
        <v>50</v>
      </c>
      <c r="D373" s="18">
        <v>25</v>
      </c>
      <c r="H373" s="18">
        <f t="shared" si="7"/>
        <v>126.66666666666667</v>
      </c>
      <c r="I373" s="18">
        <v>101.33</v>
      </c>
      <c r="K373" s="18">
        <v>220</v>
      </c>
      <c r="N373" s="18">
        <v>98.72</v>
      </c>
      <c r="O373" s="26" t="s">
        <v>115</v>
      </c>
      <c r="P373" s="18" t="s">
        <v>27</v>
      </c>
      <c r="Q373" s="18" t="s">
        <v>58</v>
      </c>
      <c r="R373" s="19" t="s">
        <v>112</v>
      </c>
    </row>
    <row r="374" spans="1:18" x14ac:dyDescent="0.3">
      <c r="A374" s="18">
        <v>190</v>
      </c>
      <c r="B374" s="18">
        <v>800</v>
      </c>
      <c r="C374" s="18" t="s">
        <v>116</v>
      </c>
      <c r="D374" s="18">
        <v>4000</v>
      </c>
      <c r="H374" s="18">
        <f t="shared" si="7"/>
        <v>237.5</v>
      </c>
      <c r="I374" s="18" t="s">
        <v>117</v>
      </c>
      <c r="K374" s="18">
        <v>325</v>
      </c>
      <c r="N374" s="18">
        <v>99.73</v>
      </c>
      <c r="O374" s="26" t="s">
        <v>76</v>
      </c>
      <c r="P374" s="18" t="s">
        <v>27</v>
      </c>
      <c r="Q374" s="18" t="s">
        <v>32</v>
      </c>
      <c r="R374" s="19" t="s">
        <v>112</v>
      </c>
    </row>
    <row r="375" spans="1:18" x14ac:dyDescent="0.3">
      <c r="A375" s="18">
        <v>200</v>
      </c>
      <c r="B375" s="18">
        <v>1000</v>
      </c>
      <c r="C375" s="18">
        <v>50</v>
      </c>
      <c r="D375" s="18">
        <v>100</v>
      </c>
      <c r="H375" s="18">
        <f t="shared" si="7"/>
        <v>200</v>
      </c>
      <c r="I375" s="18">
        <v>200</v>
      </c>
      <c r="K375" s="18">
        <v>239</v>
      </c>
      <c r="N375" s="18">
        <v>99.84</v>
      </c>
      <c r="O375" s="26" t="s">
        <v>118</v>
      </c>
      <c r="P375" s="18" t="s">
        <v>71</v>
      </c>
      <c r="Q375" s="18" t="s">
        <v>58</v>
      </c>
      <c r="R375" s="19" t="s">
        <v>112</v>
      </c>
    </row>
    <row r="376" spans="1:18" x14ac:dyDescent="0.3">
      <c r="A376" s="18">
        <v>90</v>
      </c>
      <c r="B376" s="18">
        <v>187.7</v>
      </c>
      <c r="C376" s="18">
        <v>25</v>
      </c>
      <c r="D376" s="18">
        <v>80</v>
      </c>
      <c r="H376" s="18">
        <f t="shared" si="7"/>
        <v>479.48854555141185</v>
      </c>
      <c r="I376" s="18">
        <v>58.4</v>
      </c>
      <c r="K376" s="18">
        <v>240</v>
      </c>
      <c r="N376" s="18">
        <v>99.7</v>
      </c>
      <c r="O376" s="26" t="s">
        <v>119</v>
      </c>
      <c r="P376" s="18" t="s">
        <v>71</v>
      </c>
      <c r="Q376" s="18" t="s">
        <v>32</v>
      </c>
      <c r="R376" s="19" t="s">
        <v>112</v>
      </c>
    </row>
    <row r="377" spans="1:18" x14ac:dyDescent="0.3">
      <c r="A377" s="18">
        <v>200</v>
      </c>
      <c r="B377" s="18">
        <v>1042</v>
      </c>
      <c r="C377" s="18">
        <v>30</v>
      </c>
      <c r="D377" s="18">
        <v>80</v>
      </c>
      <c r="H377" s="18">
        <f t="shared" si="7"/>
        <v>191.93857965451056</v>
      </c>
      <c r="I377" s="18">
        <v>80</v>
      </c>
      <c r="K377" s="18">
        <v>213</v>
      </c>
      <c r="N377" s="18">
        <v>99.84</v>
      </c>
      <c r="R377" s="19" t="s">
        <v>112</v>
      </c>
    </row>
    <row r="378" spans="1:18" x14ac:dyDescent="0.3">
      <c r="A378" s="18">
        <v>150</v>
      </c>
      <c r="B378" s="18">
        <v>1250</v>
      </c>
      <c r="C378" s="18">
        <v>30</v>
      </c>
      <c r="D378" s="18">
        <v>80</v>
      </c>
      <c r="H378" s="18">
        <f t="shared" si="7"/>
        <v>120</v>
      </c>
      <c r="I378" s="18">
        <v>50</v>
      </c>
      <c r="K378" s="18">
        <v>185</v>
      </c>
      <c r="N378" s="18">
        <v>99.27</v>
      </c>
      <c r="R378" s="19" t="s">
        <v>112</v>
      </c>
    </row>
    <row r="379" spans="1:18" x14ac:dyDescent="0.3">
      <c r="A379" s="18">
        <v>200</v>
      </c>
      <c r="B379" s="18" t="s">
        <v>120</v>
      </c>
      <c r="C379" s="18">
        <v>110</v>
      </c>
      <c r="D379" s="18">
        <v>50</v>
      </c>
      <c r="E379" s="18">
        <v>80</v>
      </c>
      <c r="F379" s="18" t="s">
        <v>18</v>
      </c>
      <c r="G379" s="18">
        <v>67</v>
      </c>
      <c r="I379" s="18" t="s">
        <v>121</v>
      </c>
      <c r="N379" s="18">
        <v>97.97</v>
      </c>
      <c r="R379" t="s">
        <v>122</v>
      </c>
    </row>
    <row r="380" spans="1:18" x14ac:dyDescent="0.3">
      <c r="A380" s="18" t="s">
        <v>123</v>
      </c>
      <c r="B380" s="18" t="s">
        <v>124</v>
      </c>
      <c r="C380" s="18" t="s">
        <v>125</v>
      </c>
      <c r="D380" s="18" t="s">
        <v>126</v>
      </c>
      <c r="E380" s="18">
        <v>80</v>
      </c>
      <c r="F380" s="18" t="s">
        <v>18</v>
      </c>
      <c r="G380" s="18">
        <v>67</v>
      </c>
      <c r="I380" s="18" t="s">
        <v>127</v>
      </c>
      <c r="N380" s="18">
        <v>96.6</v>
      </c>
      <c r="O380" s="26" t="s">
        <v>128</v>
      </c>
      <c r="P380" s="18" t="s">
        <v>27</v>
      </c>
      <c r="Q380" s="18" t="s">
        <v>58</v>
      </c>
      <c r="R380" t="s">
        <v>122</v>
      </c>
    </row>
    <row r="381" spans="1:18" x14ac:dyDescent="0.3">
      <c r="A381" s="18">
        <v>150</v>
      </c>
      <c r="B381" s="18" t="s">
        <v>129</v>
      </c>
      <c r="C381" s="18">
        <v>80</v>
      </c>
      <c r="D381" s="18">
        <v>40</v>
      </c>
      <c r="E381" s="18">
        <v>80</v>
      </c>
      <c r="F381" s="18" t="s">
        <v>18</v>
      </c>
      <c r="G381" s="18">
        <v>67</v>
      </c>
      <c r="I381" s="18" t="s">
        <v>130</v>
      </c>
      <c r="N381" s="18">
        <v>96.82</v>
      </c>
      <c r="R381" t="s">
        <v>122</v>
      </c>
    </row>
    <row r="382" spans="1:18" x14ac:dyDescent="0.3">
      <c r="A382" s="18" t="s">
        <v>131</v>
      </c>
      <c r="B382" s="18" t="s">
        <v>132</v>
      </c>
      <c r="C382" s="18" t="s">
        <v>133</v>
      </c>
      <c r="D382" s="18">
        <v>20</v>
      </c>
      <c r="E382" s="18">
        <v>80</v>
      </c>
      <c r="F382" s="18" t="s">
        <v>18</v>
      </c>
      <c r="G382" s="18">
        <v>67</v>
      </c>
      <c r="I382" s="18" t="s">
        <v>134</v>
      </c>
      <c r="N382" s="18">
        <v>98.77</v>
      </c>
      <c r="R382" t="s">
        <v>122</v>
      </c>
    </row>
    <row r="383" spans="1:18" x14ac:dyDescent="0.3">
      <c r="A383" s="18" t="s">
        <v>135</v>
      </c>
      <c r="B383" s="18" t="s">
        <v>136</v>
      </c>
      <c r="C383" s="18" t="s">
        <v>130</v>
      </c>
      <c r="D383" s="18">
        <v>20</v>
      </c>
      <c r="E383" s="18">
        <v>80</v>
      </c>
      <c r="F383" s="18" t="s">
        <v>18</v>
      </c>
      <c r="G383" s="18">
        <v>67</v>
      </c>
      <c r="I383" s="18" t="s">
        <v>137</v>
      </c>
      <c r="N383" s="18">
        <v>98.52</v>
      </c>
      <c r="O383" s="26" t="s">
        <v>128</v>
      </c>
      <c r="P383" s="18" t="s">
        <v>138</v>
      </c>
      <c r="Q383" s="18" t="s">
        <v>58</v>
      </c>
      <c r="R383" t="s">
        <v>122</v>
      </c>
    </row>
    <row r="384" spans="1:18" x14ac:dyDescent="0.3">
      <c r="A384" s="18">
        <v>100</v>
      </c>
      <c r="B384" s="18" t="s">
        <v>139</v>
      </c>
      <c r="C384" s="18" t="s">
        <v>140</v>
      </c>
      <c r="D384" s="18">
        <v>50</v>
      </c>
      <c r="E384" s="18">
        <v>80</v>
      </c>
      <c r="F384" s="18" t="s">
        <v>18</v>
      </c>
      <c r="G384" s="18">
        <v>67</v>
      </c>
      <c r="I384" s="18" t="s">
        <v>141</v>
      </c>
      <c r="N384" s="18">
        <v>96</v>
      </c>
      <c r="R384" t="s">
        <v>122</v>
      </c>
    </row>
    <row r="385" spans="1:18" x14ac:dyDescent="0.3">
      <c r="A385" s="18" t="s">
        <v>142</v>
      </c>
      <c r="B385" s="18" t="s">
        <v>143</v>
      </c>
      <c r="C385" s="18" t="s">
        <v>144</v>
      </c>
      <c r="D385" s="18">
        <v>30</v>
      </c>
      <c r="E385" s="18">
        <v>80</v>
      </c>
      <c r="F385" s="18" t="s">
        <v>18</v>
      </c>
      <c r="G385" s="18">
        <v>67</v>
      </c>
      <c r="I385" s="18" t="s">
        <v>145</v>
      </c>
      <c r="N385" s="18">
        <v>98.59</v>
      </c>
      <c r="O385" s="26" t="s">
        <v>128</v>
      </c>
      <c r="P385" s="18" t="s">
        <v>138</v>
      </c>
      <c r="Q385" s="18" t="s">
        <v>58</v>
      </c>
      <c r="R385" t="s">
        <v>122</v>
      </c>
    </row>
    <row r="386" spans="1:18" x14ac:dyDescent="0.3">
      <c r="A386" s="18" t="s">
        <v>146</v>
      </c>
      <c r="B386" s="18" t="s">
        <v>147</v>
      </c>
      <c r="C386" s="18" t="s">
        <v>148</v>
      </c>
      <c r="D386" s="18">
        <v>40</v>
      </c>
      <c r="E386" s="18">
        <v>80</v>
      </c>
      <c r="F386" s="18" t="s">
        <v>18</v>
      </c>
      <c r="G386" s="18">
        <v>67</v>
      </c>
      <c r="I386" s="18" t="s">
        <v>149</v>
      </c>
      <c r="N386" s="18">
        <v>98.62</v>
      </c>
      <c r="O386" s="26" t="s">
        <v>128</v>
      </c>
      <c r="P386" s="18" t="s">
        <v>27</v>
      </c>
      <c r="Q386" s="18" t="s">
        <v>58</v>
      </c>
      <c r="R386" t="s">
        <v>122</v>
      </c>
    </row>
    <row r="387" spans="1:18" x14ac:dyDescent="0.3">
      <c r="A387" s="18">
        <v>220</v>
      </c>
      <c r="B387" s="18">
        <v>960</v>
      </c>
      <c r="C387" s="18">
        <v>80</v>
      </c>
      <c r="D387" s="18">
        <v>40</v>
      </c>
      <c r="E387" s="18">
        <v>80</v>
      </c>
      <c r="F387" s="18" t="s">
        <v>18</v>
      </c>
      <c r="G387" s="18">
        <v>67</v>
      </c>
      <c r="H387" s="18">
        <f>((A387/B387)*1000)</f>
        <v>229.16666666666666</v>
      </c>
      <c r="I387" s="18">
        <v>70</v>
      </c>
      <c r="N387" s="18">
        <v>95.61</v>
      </c>
      <c r="R387" t="s">
        <v>122</v>
      </c>
    </row>
    <row r="388" spans="1:18" x14ac:dyDescent="0.3">
      <c r="A388" s="18">
        <v>100</v>
      </c>
      <c r="B388" s="18" t="s">
        <v>150</v>
      </c>
      <c r="C388" s="18" t="s">
        <v>151</v>
      </c>
      <c r="D388" s="18">
        <v>30</v>
      </c>
      <c r="E388" s="18">
        <v>80</v>
      </c>
      <c r="F388" s="18" t="s">
        <v>18</v>
      </c>
      <c r="G388" s="18">
        <v>67</v>
      </c>
      <c r="I388" s="18" t="s">
        <v>152</v>
      </c>
      <c r="N388" s="18">
        <v>96.5</v>
      </c>
      <c r="R388" t="s">
        <v>122</v>
      </c>
    </row>
    <row r="389" spans="1:18" x14ac:dyDescent="0.3">
      <c r="A389" s="18" t="s">
        <v>153</v>
      </c>
      <c r="B389" s="18" t="s">
        <v>154</v>
      </c>
      <c r="C389" s="18">
        <v>60</v>
      </c>
      <c r="D389" s="18">
        <v>20</v>
      </c>
      <c r="E389" s="18">
        <v>80</v>
      </c>
      <c r="F389" s="18" t="s">
        <v>18</v>
      </c>
      <c r="G389" s="18">
        <v>67</v>
      </c>
      <c r="I389" s="18" t="s">
        <v>155</v>
      </c>
      <c r="N389" s="18">
        <v>96.84</v>
      </c>
      <c r="O389" s="26" t="s">
        <v>128</v>
      </c>
      <c r="P389" s="18" t="s">
        <v>138</v>
      </c>
      <c r="Q389" s="18" t="s">
        <v>58</v>
      </c>
      <c r="R389" t="s">
        <v>122</v>
      </c>
    </row>
    <row r="390" spans="1:18" x14ac:dyDescent="0.3">
      <c r="A390" s="18">
        <v>175</v>
      </c>
      <c r="B390" s="18">
        <v>668</v>
      </c>
      <c r="C390" s="18">
        <v>120</v>
      </c>
      <c r="D390" s="18">
        <v>30</v>
      </c>
      <c r="E390" s="18">
        <v>80</v>
      </c>
      <c r="F390" s="18" t="s">
        <v>18</v>
      </c>
      <c r="G390" s="18">
        <v>67</v>
      </c>
      <c r="H390" s="18">
        <f t="shared" ref="H388:H392" si="8">((A390/B390)*1000)</f>
        <v>261.9760479041916</v>
      </c>
      <c r="I390" s="18">
        <v>70</v>
      </c>
      <c r="N390" s="18">
        <v>99.05</v>
      </c>
      <c r="R390" t="s">
        <v>122</v>
      </c>
    </row>
    <row r="391" spans="1:18" x14ac:dyDescent="0.3">
      <c r="A391" s="18">
        <v>150</v>
      </c>
      <c r="B391" s="18" t="s">
        <v>156</v>
      </c>
      <c r="C391" s="18">
        <v>90</v>
      </c>
      <c r="D391" s="18">
        <v>50</v>
      </c>
      <c r="E391" s="18">
        <v>80</v>
      </c>
      <c r="F391" s="18" t="s">
        <v>18</v>
      </c>
      <c r="G391" s="18">
        <v>67</v>
      </c>
      <c r="I391" s="18" t="s">
        <v>157</v>
      </c>
      <c r="N391" s="18">
        <v>96.4</v>
      </c>
      <c r="R391" t="s">
        <v>122</v>
      </c>
    </row>
    <row r="392" spans="1:18" x14ac:dyDescent="0.3">
      <c r="A392" s="18">
        <v>200</v>
      </c>
      <c r="B392" s="18">
        <v>2000</v>
      </c>
      <c r="C392" s="18">
        <v>60</v>
      </c>
      <c r="D392" s="18">
        <v>30</v>
      </c>
      <c r="E392" s="18">
        <v>80</v>
      </c>
      <c r="F392" s="18" t="s">
        <v>18</v>
      </c>
      <c r="G392" s="18">
        <v>67</v>
      </c>
      <c r="H392" s="18">
        <f t="shared" si="8"/>
        <v>100</v>
      </c>
      <c r="I392" s="18">
        <v>55</v>
      </c>
      <c r="N392" s="18">
        <v>97.38</v>
      </c>
      <c r="R392" t="s">
        <v>122</v>
      </c>
    </row>
    <row r="393" spans="1:18" x14ac:dyDescent="0.3">
      <c r="A393" s="18">
        <v>220</v>
      </c>
      <c r="B393" s="18">
        <v>1083</v>
      </c>
      <c r="C393" s="18">
        <v>20</v>
      </c>
      <c r="D393" s="18">
        <v>90</v>
      </c>
      <c r="G393" s="18">
        <v>67</v>
      </c>
      <c r="H393" s="18">
        <v>203.13</v>
      </c>
      <c r="I393" s="18">
        <v>112.85</v>
      </c>
      <c r="L393" s="18">
        <v>337</v>
      </c>
      <c r="M393" s="18">
        <v>490</v>
      </c>
      <c r="R393" t="s">
        <v>158</v>
      </c>
    </row>
    <row r="394" spans="1:18" x14ac:dyDescent="0.3">
      <c r="A394" s="18">
        <v>195</v>
      </c>
      <c r="B394" s="18">
        <v>1083</v>
      </c>
      <c r="C394" s="18">
        <v>20</v>
      </c>
      <c r="D394" s="18">
        <v>90</v>
      </c>
      <c r="G394" s="18">
        <v>67</v>
      </c>
      <c r="H394" s="18">
        <v>182.82</v>
      </c>
      <c r="I394" s="18">
        <v>100.03</v>
      </c>
      <c r="L394" s="18">
        <v>358</v>
      </c>
      <c r="M394" s="18">
        <v>481</v>
      </c>
      <c r="R394" t="s">
        <v>158</v>
      </c>
    </row>
    <row r="395" spans="1:18" x14ac:dyDescent="0.3">
      <c r="A395" s="18">
        <v>170</v>
      </c>
      <c r="B395" s="18">
        <v>1083</v>
      </c>
      <c r="C395" s="18">
        <v>20</v>
      </c>
      <c r="D395" s="18">
        <v>90</v>
      </c>
      <c r="G395" s="18">
        <v>67</v>
      </c>
      <c r="H395" s="18">
        <v>156.97</v>
      </c>
      <c r="I395" s="18">
        <v>87.2</v>
      </c>
      <c r="L395" s="18">
        <v>366</v>
      </c>
      <c r="M395" s="18">
        <v>494</v>
      </c>
      <c r="R395" t="s">
        <v>158</v>
      </c>
    </row>
    <row r="396" spans="1:18" x14ac:dyDescent="0.3">
      <c r="A396" s="18">
        <v>150</v>
      </c>
      <c r="D396" s="18">
        <v>102</v>
      </c>
      <c r="E396" s="18">
        <v>70</v>
      </c>
      <c r="F396" s="18" t="s">
        <v>18</v>
      </c>
      <c r="G396" s="18">
        <v>67</v>
      </c>
      <c r="I396" s="18">
        <v>59</v>
      </c>
      <c r="J396" s="18" t="s">
        <v>23</v>
      </c>
      <c r="L396" s="18">
        <v>504</v>
      </c>
      <c r="M396" s="18">
        <v>633</v>
      </c>
      <c r="N396" s="18">
        <v>98.93</v>
      </c>
      <c r="R396" s="19" t="s">
        <v>159</v>
      </c>
    </row>
    <row r="397" spans="1:18" x14ac:dyDescent="0.3">
      <c r="A397" s="18">
        <v>150</v>
      </c>
      <c r="D397" s="18">
        <v>102</v>
      </c>
      <c r="E397" s="18">
        <v>70</v>
      </c>
      <c r="F397" s="18" t="s">
        <v>18</v>
      </c>
      <c r="G397" s="18">
        <v>67</v>
      </c>
      <c r="I397" s="18">
        <v>59</v>
      </c>
      <c r="J397" s="18" t="s">
        <v>23</v>
      </c>
      <c r="L397" s="18">
        <v>484</v>
      </c>
      <c r="M397" s="18">
        <v>587</v>
      </c>
      <c r="N397" s="18">
        <v>98.92</v>
      </c>
      <c r="R397" s="19" t="s">
        <v>159</v>
      </c>
    </row>
    <row r="398" spans="1:18" x14ac:dyDescent="0.3">
      <c r="A398" s="18">
        <v>150</v>
      </c>
      <c r="D398" s="18">
        <v>121</v>
      </c>
      <c r="E398" s="18">
        <v>70</v>
      </c>
      <c r="F398" s="18" t="s">
        <v>18</v>
      </c>
      <c r="G398" s="18">
        <v>67</v>
      </c>
      <c r="I398" s="18">
        <v>59</v>
      </c>
      <c r="J398" s="18" t="s">
        <v>23</v>
      </c>
      <c r="L398" s="18">
        <v>483</v>
      </c>
      <c r="M398" s="18">
        <v>616</v>
      </c>
      <c r="N398" s="18">
        <v>99.27</v>
      </c>
      <c r="R398" s="19" t="s">
        <v>159</v>
      </c>
    </row>
    <row r="399" spans="1:18" x14ac:dyDescent="0.3">
      <c r="A399" s="18">
        <v>150</v>
      </c>
      <c r="D399" s="18">
        <v>121</v>
      </c>
      <c r="E399" s="18">
        <v>70</v>
      </c>
      <c r="F399" s="18" t="s">
        <v>18</v>
      </c>
      <c r="G399" s="18">
        <v>67</v>
      </c>
      <c r="I399" s="18">
        <v>59</v>
      </c>
      <c r="J399" s="18" t="s">
        <v>23</v>
      </c>
      <c r="L399" s="18">
        <v>493</v>
      </c>
      <c r="M399" s="18">
        <v>607</v>
      </c>
      <c r="N399" s="18">
        <v>99.12</v>
      </c>
      <c r="R399" s="19" t="s">
        <v>159</v>
      </c>
    </row>
    <row r="400" spans="1:18" x14ac:dyDescent="0.3">
      <c r="A400" s="18">
        <v>150</v>
      </c>
      <c r="D400" s="18">
        <v>99</v>
      </c>
      <c r="E400" s="18">
        <v>70</v>
      </c>
      <c r="F400" s="18" t="s">
        <v>18</v>
      </c>
      <c r="G400" s="18">
        <v>67</v>
      </c>
      <c r="I400" s="18">
        <v>59</v>
      </c>
      <c r="J400" s="18" t="s">
        <v>23</v>
      </c>
      <c r="L400" s="18">
        <v>501</v>
      </c>
      <c r="M400" s="18">
        <v>639</v>
      </c>
      <c r="N400" s="18">
        <v>99.18</v>
      </c>
      <c r="R400" s="19" t="s">
        <v>159</v>
      </c>
    </row>
    <row r="401" spans="1:18" x14ac:dyDescent="0.3">
      <c r="A401" s="18">
        <v>150</v>
      </c>
      <c r="D401" s="18">
        <v>99</v>
      </c>
      <c r="E401" s="18">
        <v>70</v>
      </c>
      <c r="F401" s="18" t="s">
        <v>18</v>
      </c>
      <c r="G401" s="18">
        <v>67</v>
      </c>
      <c r="I401" s="18">
        <v>59</v>
      </c>
      <c r="J401" s="18" t="s">
        <v>23</v>
      </c>
      <c r="L401" s="18">
        <v>507</v>
      </c>
      <c r="M401" s="18">
        <v>607</v>
      </c>
      <c r="N401" s="18">
        <v>99.04</v>
      </c>
      <c r="R401" s="19" t="s">
        <v>159</v>
      </c>
    </row>
    <row r="402" spans="1:18" x14ac:dyDescent="0.3">
      <c r="A402" s="18">
        <v>200</v>
      </c>
      <c r="D402" s="18">
        <v>121</v>
      </c>
      <c r="E402" s="18">
        <v>70</v>
      </c>
      <c r="F402" s="18" t="s">
        <v>18</v>
      </c>
      <c r="G402" s="18">
        <v>67</v>
      </c>
      <c r="I402" s="18">
        <v>59</v>
      </c>
      <c r="J402" s="18" t="s">
        <v>23</v>
      </c>
      <c r="L402" s="18">
        <v>480</v>
      </c>
      <c r="M402" s="18">
        <v>628</v>
      </c>
      <c r="N402" s="18">
        <v>99.36</v>
      </c>
      <c r="R402" s="19" t="s">
        <v>159</v>
      </c>
    </row>
    <row r="403" spans="1:18" x14ac:dyDescent="0.3">
      <c r="A403" s="18">
        <v>200</v>
      </c>
      <c r="D403" s="18">
        <v>121</v>
      </c>
      <c r="E403" s="18">
        <v>70</v>
      </c>
      <c r="F403" s="18" t="s">
        <v>18</v>
      </c>
      <c r="G403" s="18">
        <v>67</v>
      </c>
      <c r="I403" s="18">
        <v>59</v>
      </c>
      <c r="J403" s="18" t="s">
        <v>23</v>
      </c>
      <c r="L403" s="18">
        <v>493</v>
      </c>
      <c r="M403" s="18">
        <v>634</v>
      </c>
      <c r="N403" s="18">
        <v>99.31</v>
      </c>
      <c r="R403" s="19" t="s">
        <v>159</v>
      </c>
    </row>
    <row r="404" spans="1:18" x14ac:dyDescent="0.3">
      <c r="A404" s="18">
        <v>200</v>
      </c>
      <c r="D404" s="18">
        <v>99</v>
      </c>
      <c r="E404" s="18">
        <v>70</v>
      </c>
      <c r="F404" s="18" t="s">
        <v>18</v>
      </c>
      <c r="G404" s="18">
        <v>67</v>
      </c>
      <c r="I404" s="18">
        <v>59</v>
      </c>
      <c r="J404" s="18" t="s">
        <v>23</v>
      </c>
      <c r="L404" s="18">
        <v>477</v>
      </c>
      <c r="M404" s="18">
        <v>626</v>
      </c>
      <c r="N404" s="18">
        <v>99.48</v>
      </c>
      <c r="R404" s="19" t="s">
        <v>159</v>
      </c>
    </row>
    <row r="405" spans="1:18" x14ac:dyDescent="0.3">
      <c r="A405" s="18">
        <v>200</v>
      </c>
      <c r="D405" s="18">
        <v>99</v>
      </c>
      <c r="E405" s="18">
        <v>70</v>
      </c>
      <c r="F405" s="18" t="s">
        <v>18</v>
      </c>
      <c r="G405" s="18">
        <v>67</v>
      </c>
      <c r="I405" s="18">
        <v>59</v>
      </c>
      <c r="J405" s="18" t="s">
        <v>23</v>
      </c>
      <c r="L405" s="18">
        <v>476</v>
      </c>
      <c r="M405" s="18">
        <v>625</v>
      </c>
      <c r="N405" s="18">
        <v>99.34</v>
      </c>
      <c r="R405" s="19" t="s">
        <v>159</v>
      </c>
    </row>
    <row r="406" spans="1:18" x14ac:dyDescent="0.3">
      <c r="A406" s="18">
        <v>200</v>
      </c>
      <c r="D406" s="18">
        <v>103</v>
      </c>
      <c r="E406" s="18">
        <v>70</v>
      </c>
      <c r="F406" s="18" t="s">
        <v>18</v>
      </c>
      <c r="G406" s="18">
        <v>67</v>
      </c>
      <c r="I406" s="18">
        <v>59</v>
      </c>
      <c r="J406" s="18" t="s">
        <v>23</v>
      </c>
      <c r="L406" s="18">
        <v>441</v>
      </c>
      <c r="M406" s="18">
        <v>611</v>
      </c>
      <c r="N406" s="18">
        <v>99.46</v>
      </c>
      <c r="R406" s="19" t="s">
        <v>159</v>
      </c>
    </row>
    <row r="407" spans="1:18" x14ac:dyDescent="0.3">
      <c r="A407" s="18">
        <v>200</v>
      </c>
      <c r="D407" s="18">
        <v>103</v>
      </c>
      <c r="E407" s="18">
        <v>70</v>
      </c>
      <c r="F407" s="18" t="s">
        <v>18</v>
      </c>
      <c r="G407" s="18">
        <v>67</v>
      </c>
      <c r="I407" s="18">
        <v>59</v>
      </c>
      <c r="J407" s="18" t="s">
        <v>23</v>
      </c>
      <c r="L407" s="18">
        <v>435</v>
      </c>
      <c r="M407" s="18">
        <v>615</v>
      </c>
      <c r="N407" s="18">
        <v>99.46</v>
      </c>
      <c r="R407" s="19" t="s">
        <v>159</v>
      </c>
    </row>
    <row r="408" spans="1:18" x14ac:dyDescent="0.3">
      <c r="A408" s="18">
        <v>150</v>
      </c>
      <c r="D408" s="18">
        <v>83</v>
      </c>
      <c r="E408" s="18">
        <v>70</v>
      </c>
      <c r="F408" s="18" t="s">
        <v>18</v>
      </c>
      <c r="G408" s="18">
        <v>67</v>
      </c>
      <c r="I408" s="18">
        <v>103</v>
      </c>
      <c r="J408" s="18" t="s">
        <v>23</v>
      </c>
      <c r="L408" s="18">
        <v>462</v>
      </c>
      <c r="M408" s="18">
        <v>581</v>
      </c>
      <c r="N408" s="18">
        <v>99.31</v>
      </c>
      <c r="R408" s="19" t="s">
        <v>159</v>
      </c>
    </row>
    <row r="409" spans="1:18" x14ac:dyDescent="0.3">
      <c r="A409" s="18">
        <v>150</v>
      </c>
      <c r="D409" s="18">
        <v>83</v>
      </c>
      <c r="E409" s="18">
        <v>70</v>
      </c>
      <c r="F409" s="18" t="s">
        <v>18</v>
      </c>
      <c r="G409" s="18">
        <v>67</v>
      </c>
      <c r="I409" s="18">
        <v>103</v>
      </c>
      <c r="J409" s="18" t="s">
        <v>23</v>
      </c>
      <c r="L409" s="18">
        <v>442</v>
      </c>
      <c r="M409" s="18">
        <v>561</v>
      </c>
      <c r="N409" s="18">
        <v>98.64</v>
      </c>
      <c r="R409" s="19" t="s">
        <v>159</v>
      </c>
    </row>
    <row r="410" spans="1:18" x14ac:dyDescent="0.3">
      <c r="A410" s="18">
        <v>150</v>
      </c>
      <c r="D410" s="18">
        <v>116</v>
      </c>
      <c r="E410" s="18">
        <v>70</v>
      </c>
      <c r="F410" s="18" t="s">
        <v>18</v>
      </c>
      <c r="G410" s="18">
        <v>67</v>
      </c>
      <c r="I410" s="18">
        <v>103</v>
      </c>
      <c r="J410" s="18" t="s">
        <v>23</v>
      </c>
      <c r="L410" s="18">
        <v>481</v>
      </c>
      <c r="M410" s="18">
        <v>595</v>
      </c>
      <c r="N410" s="18">
        <v>99.23</v>
      </c>
      <c r="R410" s="19" t="s">
        <v>159</v>
      </c>
    </row>
    <row r="411" spans="1:18" x14ac:dyDescent="0.3">
      <c r="A411" s="18">
        <v>150</v>
      </c>
      <c r="D411" s="18">
        <v>116</v>
      </c>
      <c r="E411" s="18">
        <v>70</v>
      </c>
      <c r="F411" s="18" t="s">
        <v>18</v>
      </c>
      <c r="G411" s="18">
        <v>67</v>
      </c>
      <c r="I411" s="18">
        <v>103</v>
      </c>
      <c r="J411" s="18" t="s">
        <v>23</v>
      </c>
      <c r="L411" s="18">
        <v>479</v>
      </c>
      <c r="M411" s="18">
        <v>574</v>
      </c>
      <c r="N411" s="18">
        <v>98.08</v>
      </c>
      <c r="R411" s="19" t="s">
        <v>159</v>
      </c>
    </row>
    <row r="412" spans="1:18" x14ac:dyDescent="0.3">
      <c r="A412" s="18">
        <v>150</v>
      </c>
      <c r="D412" s="18">
        <v>96</v>
      </c>
      <c r="E412" s="18">
        <v>70</v>
      </c>
      <c r="F412" s="18" t="s">
        <v>18</v>
      </c>
      <c r="G412" s="18">
        <v>67</v>
      </c>
      <c r="I412" s="18">
        <v>103</v>
      </c>
      <c r="J412" s="18" t="s">
        <v>23</v>
      </c>
      <c r="L412" s="18">
        <v>492</v>
      </c>
      <c r="M412" s="18">
        <v>584</v>
      </c>
      <c r="N412" s="18">
        <v>99.27</v>
      </c>
      <c r="R412" s="19" t="s">
        <v>159</v>
      </c>
    </row>
    <row r="413" spans="1:18" x14ac:dyDescent="0.3">
      <c r="A413" s="18">
        <v>150</v>
      </c>
      <c r="D413" s="18">
        <v>96</v>
      </c>
      <c r="E413" s="18">
        <v>70</v>
      </c>
      <c r="F413" s="18" t="s">
        <v>18</v>
      </c>
      <c r="G413" s="18">
        <v>67</v>
      </c>
      <c r="I413" s="18">
        <v>103</v>
      </c>
      <c r="J413" s="18" t="s">
        <v>23</v>
      </c>
      <c r="L413" s="18">
        <v>451</v>
      </c>
      <c r="M413" s="18">
        <v>586</v>
      </c>
      <c r="N413" s="18">
        <v>99.23</v>
      </c>
      <c r="R413" s="19" t="s">
        <v>159</v>
      </c>
    </row>
    <row r="414" spans="1:18" x14ac:dyDescent="0.3">
      <c r="A414" s="18">
        <v>200</v>
      </c>
      <c r="D414" s="18">
        <v>103</v>
      </c>
      <c r="E414" s="18">
        <v>70</v>
      </c>
      <c r="F414" s="18" t="s">
        <v>18</v>
      </c>
      <c r="G414" s="18">
        <v>67</v>
      </c>
      <c r="I414" s="18">
        <v>103</v>
      </c>
      <c r="J414" s="18" t="s">
        <v>23</v>
      </c>
      <c r="L414" s="18">
        <v>438</v>
      </c>
      <c r="M414" s="18">
        <v>573</v>
      </c>
      <c r="N414" s="18">
        <v>99.26</v>
      </c>
      <c r="R414" s="19" t="s">
        <v>159</v>
      </c>
    </row>
    <row r="415" spans="1:18" x14ac:dyDescent="0.3">
      <c r="A415" s="18">
        <v>200</v>
      </c>
      <c r="D415" s="18">
        <v>103</v>
      </c>
      <c r="E415" s="18">
        <v>70</v>
      </c>
      <c r="F415" s="18" t="s">
        <v>18</v>
      </c>
      <c r="G415" s="18">
        <v>67</v>
      </c>
      <c r="I415" s="18">
        <v>103</v>
      </c>
      <c r="J415" s="18" t="s">
        <v>23</v>
      </c>
      <c r="L415" s="18">
        <v>481</v>
      </c>
      <c r="M415" s="18">
        <v>573</v>
      </c>
      <c r="N415" s="18">
        <v>99.49</v>
      </c>
      <c r="R415" s="19" t="s">
        <v>159</v>
      </c>
    </row>
    <row r="416" spans="1:18" x14ac:dyDescent="0.3">
      <c r="A416" s="18">
        <v>200</v>
      </c>
      <c r="D416" s="18">
        <v>76</v>
      </c>
      <c r="E416" s="18">
        <v>70</v>
      </c>
      <c r="F416" s="18" t="s">
        <v>18</v>
      </c>
      <c r="G416" s="18">
        <v>67</v>
      </c>
      <c r="I416" s="18">
        <v>103</v>
      </c>
      <c r="J416" s="18" t="s">
        <v>23</v>
      </c>
      <c r="L416" s="18">
        <v>457</v>
      </c>
      <c r="M416" s="18">
        <v>576</v>
      </c>
      <c r="N416" s="18">
        <v>99.52</v>
      </c>
      <c r="R416" s="19" t="s">
        <v>159</v>
      </c>
    </row>
    <row r="417" spans="1:18" x14ac:dyDescent="0.3">
      <c r="A417" s="18">
        <v>200</v>
      </c>
      <c r="D417" s="18">
        <v>76</v>
      </c>
      <c r="E417" s="18">
        <v>70</v>
      </c>
      <c r="F417" s="18" t="s">
        <v>18</v>
      </c>
      <c r="G417" s="18">
        <v>67</v>
      </c>
      <c r="I417" s="18">
        <v>103</v>
      </c>
      <c r="J417" s="18" t="s">
        <v>23</v>
      </c>
      <c r="L417" s="18">
        <v>431</v>
      </c>
      <c r="M417" s="18">
        <v>576</v>
      </c>
      <c r="N417" s="18">
        <v>99.41</v>
      </c>
      <c r="R417" s="19" t="s">
        <v>159</v>
      </c>
    </row>
    <row r="418" spans="1:18" x14ac:dyDescent="0.3">
      <c r="A418" s="18">
        <v>200</v>
      </c>
      <c r="D418" s="18">
        <v>121</v>
      </c>
      <c r="E418" s="18">
        <v>70</v>
      </c>
      <c r="F418" s="18" t="s">
        <v>18</v>
      </c>
      <c r="G418" s="18">
        <v>67</v>
      </c>
      <c r="I418" s="18">
        <v>103</v>
      </c>
      <c r="J418" s="18" t="s">
        <v>23</v>
      </c>
      <c r="L418" s="18">
        <v>437</v>
      </c>
      <c r="M418" s="18">
        <v>575</v>
      </c>
      <c r="N418" s="18">
        <v>98.72</v>
      </c>
      <c r="R418" s="19" t="s">
        <v>159</v>
      </c>
    </row>
    <row r="419" spans="1:18" x14ac:dyDescent="0.3">
      <c r="A419" s="18">
        <v>200</v>
      </c>
      <c r="D419" s="18">
        <v>121</v>
      </c>
      <c r="E419" s="18">
        <v>70</v>
      </c>
      <c r="F419" s="18" t="s">
        <v>18</v>
      </c>
      <c r="G419" s="18">
        <v>67</v>
      </c>
      <c r="I419" s="18">
        <v>103</v>
      </c>
      <c r="J419" s="18" t="s">
        <v>23</v>
      </c>
      <c r="L419" s="18">
        <v>443</v>
      </c>
      <c r="M419" s="18">
        <v>571</v>
      </c>
      <c r="N419" s="18">
        <v>98.93</v>
      </c>
      <c r="R419" s="19" t="s">
        <v>159</v>
      </c>
    </row>
    <row r="420" spans="1:18" x14ac:dyDescent="0.3">
      <c r="A420" s="18">
        <v>150</v>
      </c>
      <c r="D420" s="18">
        <v>106</v>
      </c>
      <c r="E420" s="18">
        <v>70</v>
      </c>
      <c r="F420" s="18" t="s">
        <v>18</v>
      </c>
      <c r="G420" s="18">
        <v>67</v>
      </c>
      <c r="I420" s="18">
        <v>180</v>
      </c>
      <c r="J420" s="18" t="s">
        <v>23</v>
      </c>
      <c r="L420" s="18">
        <v>457</v>
      </c>
      <c r="M420" s="18">
        <v>544</v>
      </c>
      <c r="N420" s="18">
        <v>98.13</v>
      </c>
      <c r="R420" s="19" t="s">
        <v>159</v>
      </c>
    </row>
    <row r="421" spans="1:18" x14ac:dyDescent="0.3">
      <c r="A421" s="18">
        <v>150</v>
      </c>
      <c r="D421" s="18">
        <v>106</v>
      </c>
      <c r="E421" s="18">
        <v>70</v>
      </c>
      <c r="F421" s="18" t="s">
        <v>18</v>
      </c>
      <c r="G421" s="18">
        <v>67</v>
      </c>
      <c r="I421" s="18">
        <v>180</v>
      </c>
      <c r="J421" s="18" t="s">
        <v>23</v>
      </c>
      <c r="L421" s="18">
        <v>359</v>
      </c>
      <c r="M421" s="18">
        <v>500</v>
      </c>
      <c r="N421" s="18">
        <v>95</v>
      </c>
      <c r="R421" s="19" t="s">
        <v>159</v>
      </c>
    </row>
    <row r="422" spans="1:18" x14ac:dyDescent="0.3">
      <c r="A422" s="18">
        <v>150</v>
      </c>
      <c r="D422" s="18">
        <v>91</v>
      </c>
      <c r="E422" s="18">
        <v>70</v>
      </c>
      <c r="F422" s="18" t="s">
        <v>18</v>
      </c>
      <c r="G422" s="18">
        <v>67</v>
      </c>
      <c r="I422" s="18">
        <v>180</v>
      </c>
      <c r="J422" s="18" t="s">
        <v>23</v>
      </c>
      <c r="L422" s="18">
        <v>465</v>
      </c>
      <c r="M422" s="18">
        <v>550</v>
      </c>
      <c r="N422" s="18">
        <v>98.3</v>
      </c>
      <c r="R422" s="19" t="s">
        <v>159</v>
      </c>
    </row>
    <row r="423" spans="1:18" x14ac:dyDescent="0.3">
      <c r="A423" s="18">
        <v>150</v>
      </c>
      <c r="D423" s="18">
        <v>91</v>
      </c>
      <c r="E423" s="18">
        <v>70</v>
      </c>
      <c r="F423" s="18" t="s">
        <v>18</v>
      </c>
      <c r="G423" s="18">
        <v>67</v>
      </c>
      <c r="I423" s="18">
        <v>180</v>
      </c>
      <c r="J423" s="18" t="s">
        <v>23</v>
      </c>
      <c r="L423" s="18">
        <v>419</v>
      </c>
      <c r="M423" s="18">
        <v>536</v>
      </c>
      <c r="N423" s="18">
        <v>97.31</v>
      </c>
      <c r="R423" s="19" t="s">
        <v>159</v>
      </c>
    </row>
    <row r="424" spans="1:18" x14ac:dyDescent="0.3">
      <c r="A424" s="18">
        <v>150</v>
      </c>
      <c r="D424" s="18">
        <v>76</v>
      </c>
      <c r="E424" s="18">
        <v>70</v>
      </c>
      <c r="F424" s="18" t="s">
        <v>18</v>
      </c>
      <c r="G424" s="18">
        <v>67</v>
      </c>
      <c r="I424" s="18">
        <v>180</v>
      </c>
      <c r="J424" s="18" t="s">
        <v>23</v>
      </c>
      <c r="L424" s="18">
        <v>399</v>
      </c>
      <c r="M424" s="18">
        <v>527</v>
      </c>
      <c r="N424" s="18">
        <v>96.91</v>
      </c>
      <c r="R424" s="19" t="s">
        <v>159</v>
      </c>
    </row>
    <row r="425" spans="1:18" x14ac:dyDescent="0.3">
      <c r="A425" s="18">
        <v>150</v>
      </c>
      <c r="D425" s="18">
        <v>76</v>
      </c>
      <c r="E425" s="18">
        <v>70</v>
      </c>
      <c r="F425" s="18" t="s">
        <v>18</v>
      </c>
      <c r="G425" s="18">
        <v>67</v>
      </c>
      <c r="I425" s="18">
        <v>180</v>
      </c>
      <c r="J425" s="18" t="s">
        <v>23</v>
      </c>
      <c r="L425" s="18">
        <v>404</v>
      </c>
      <c r="M425" s="18">
        <v>534</v>
      </c>
      <c r="N425" s="18">
        <v>97.36</v>
      </c>
      <c r="R425" s="19" t="s">
        <v>159</v>
      </c>
    </row>
    <row r="426" spans="1:18" x14ac:dyDescent="0.3">
      <c r="A426" s="18">
        <v>200</v>
      </c>
      <c r="D426" s="18">
        <v>75</v>
      </c>
      <c r="E426" s="18">
        <v>70</v>
      </c>
      <c r="F426" s="18" t="s">
        <v>18</v>
      </c>
      <c r="G426" s="18">
        <v>67</v>
      </c>
      <c r="I426" s="18">
        <v>180</v>
      </c>
      <c r="J426" s="18" t="s">
        <v>23</v>
      </c>
      <c r="L426" s="18">
        <v>492</v>
      </c>
      <c r="M426" s="18">
        <v>581</v>
      </c>
      <c r="N426" s="18">
        <v>99.46</v>
      </c>
      <c r="R426" s="19" t="s">
        <v>159</v>
      </c>
    </row>
    <row r="427" spans="1:18" x14ac:dyDescent="0.3">
      <c r="A427" s="18">
        <v>200</v>
      </c>
      <c r="D427" s="18">
        <v>75</v>
      </c>
      <c r="E427" s="18">
        <v>70</v>
      </c>
      <c r="F427" s="18" t="s">
        <v>18</v>
      </c>
      <c r="G427" s="18">
        <v>67</v>
      </c>
      <c r="I427" s="18">
        <v>180</v>
      </c>
      <c r="J427" s="18" t="s">
        <v>23</v>
      </c>
      <c r="L427" s="18">
        <v>454</v>
      </c>
      <c r="M427" s="18">
        <v>578</v>
      </c>
      <c r="N427" s="18">
        <v>99.36</v>
      </c>
      <c r="R427" s="19" t="s">
        <v>159</v>
      </c>
    </row>
    <row r="428" spans="1:18" x14ac:dyDescent="0.3">
      <c r="A428" s="18">
        <v>200</v>
      </c>
      <c r="D428" s="18">
        <v>93</v>
      </c>
      <c r="E428" s="18">
        <v>70</v>
      </c>
      <c r="F428" s="18" t="s">
        <v>18</v>
      </c>
      <c r="G428" s="18">
        <v>67</v>
      </c>
      <c r="I428" s="18">
        <v>180</v>
      </c>
      <c r="J428" s="18" t="s">
        <v>23</v>
      </c>
      <c r="L428" s="18">
        <v>349</v>
      </c>
      <c r="M428" s="18">
        <v>486</v>
      </c>
      <c r="N428" s="18">
        <v>94.69</v>
      </c>
      <c r="R428" s="19" t="s">
        <v>159</v>
      </c>
    </row>
    <row r="429" spans="1:18" x14ac:dyDescent="0.3">
      <c r="A429" s="18">
        <v>200</v>
      </c>
      <c r="D429" s="18">
        <v>93</v>
      </c>
      <c r="E429" s="18">
        <v>70</v>
      </c>
      <c r="F429" s="18" t="s">
        <v>18</v>
      </c>
      <c r="G429" s="18">
        <v>67</v>
      </c>
      <c r="I429" s="18">
        <v>180</v>
      </c>
      <c r="J429" s="18" t="s">
        <v>23</v>
      </c>
      <c r="L429" s="18">
        <v>430</v>
      </c>
      <c r="M429" s="18">
        <v>532</v>
      </c>
      <c r="N429" s="18">
        <v>98.02</v>
      </c>
      <c r="R429" s="19" t="s">
        <v>159</v>
      </c>
    </row>
    <row r="430" spans="1:18" x14ac:dyDescent="0.3">
      <c r="A430" s="18">
        <v>200</v>
      </c>
      <c r="D430" s="18">
        <v>95</v>
      </c>
      <c r="E430" s="18">
        <v>70</v>
      </c>
      <c r="F430" s="18" t="s">
        <v>18</v>
      </c>
      <c r="G430" s="18">
        <v>67</v>
      </c>
      <c r="I430" s="18">
        <v>180</v>
      </c>
      <c r="J430" s="18" t="s">
        <v>23</v>
      </c>
      <c r="L430" s="18">
        <v>473</v>
      </c>
      <c r="M430" s="18">
        <v>567</v>
      </c>
      <c r="N430" s="18">
        <v>99.21</v>
      </c>
      <c r="R430" s="19" t="s">
        <v>159</v>
      </c>
    </row>
    <row r="431" spans="1:18" x14ac:dyDescent="0.3">
      <c r="A431" s="18">
        <v>200</v>
      </c>
      <c r="D431" s="18">
        <v>95</v>
      </c>
      <c r="E431" s="18">
        <v>70</v>
      </c>
      <c r="F431" s="18" t="s">
        <v>18</v>
      </c>
      <c r="G431" s="18">
        <v>67</v>
      </c>
      <c r="I431" s="18">
        <v>180</v>
      </c>
      <c r="J431" s="18" t="s">
        <v>23</v>
      </c>
      <c r="L431" s="18">
        <v>427</v>
      </c>
      <c r="M431" s="18">
        <v>527</v>
      </c>
      <c r="N431" s="18">
        <v>97.88</v>
      </c>
      <c r="R431" s="19" t="s">
        <v>159</v>
      </c>
    </row>
    <row r="432" spans="1:18" x14ac:dyDescent="0.3">
      <c r="A432" s="18">
        <v>100</v>
      </c>
      <c r="B432" s="18">
        <v>250</v>
      </c>
      <c r="C432" s="18">
        <v>30</v>
      </c>
      <c r="D432" s="18">
        <v>80</v>
      </c>
      <c r="E432" s="18">
        <v>70</v>
      </c>
      <c r="H432" s="18">
        <f>((A432/B432)*1000)</f>
        <v>400</v>
      </c>
      <c r="I432" s="18">
        <v>166.67</v>
      </c>
      <c r="J432" s="18" t="s">
        <v>160</v>
      </c>
      <c r="N432" s="18">
        <v>89.31</v>
      </c>
      <c r="R432" s="19" t="s">
        <v>161</v>
      </c>
    </row>
    <row r="433" spans="1:18" x14ac:dyDescent="0.3">
      <c r="A433" s="18">
        <v>100</v>
      </c>
      <c r="B433" s="18">
        <v>400</v>
      </c>
      <c r="C433" s="18">
        <v>30</v>
      </c>
      <c r="D433" s="18">
        <v>80</v>
      </c>
      <c r="E433" s="18">
        <v>70</v>
      </c>
      <c r="H433" s="18">
        <f t="shared" ref="H433:H466" si="9">((A433/B433)*1000)</f>
        <v>250</v>
      </c>
      <c r="I433" s="18">
        <v>104.17</v>
      </c>
      <c r="J433" s="18" t="s">
        <v>160</v>
      </c>
      <c r="N433" s="18">
        <v>95.24</v>
      </c>
      <c r="R433" s="19" t="s">
        <v>161</v>
      </c>
    </row>
    <row r="434" spans="1:18" x14ac:dyDescent="0.3">
      <c r="A434" s="18">
        <v>100</v>
      </c>
      <c r="B434" s="18">
        <v>550</v>
      </c>
      <c r="C434" s="18">
        <v>30</v>
      </c>
      <c r="D434" s="18">
        <v>80</v>
      </c>
      <c r="E434" s="18">
        <v>70</v>
      </c>
      <c r="H434" s="18">
        <f t="shared" si="9"/>
        <v>181.81818181818181</v>
      </c>
      <c r="I434" s="18">
        <v>75.760000000000005</v>
      </c>
      <c r="J434" s="18" t="s">
        <v>160</v>
      </c>
      <c r="N434" s="18">
        <v>85.93</v>
      </c>
      <c r="R434" s="19" t="s">
        <v>161</v>
      </c>
    </row>
    <row r="435" spans="1:18" x14ac:dyDescent="0.3">
      <c r="A435" s="18">
        <v>100</v>
      </c>
      <c r="B435" s="18">
        <v>700</v>
      </c>
      <c r="C435" s="18">
        <v>30</v>
      </c>
      <c r="D435" s="18">
        <v>80</v>
      </c>
      <c r="E435" s="18">
        <v>70</v>
      </c>
      <c r="H435" s="18">
        <f t="shared" si="9"/>
        <v>142.85714285714286</v>
      </c>
      <c r="I435" s="18">
        <v>59.52</v>
      </c>
      <c r="J435" s="18" t="s">
        <v>160</v>
      </c>
      <c r="N435" s="18">
        <v>85.93</v>
      </c>
      <c r="R435" s="19" t="s">
        <v>161</v>
      </c>
    </row>
    <row r="436" spans="1:18" x14ac:dyDescent="0.3">
      <c r="A436" s="18">
        <v>120</v>
      </c>
      <c r="B436" s="18">
        <v>300</v>
      </c>
      <c r="C436" s="18">
        <v>30</v>
      </c>
      <c r="D436" s="18">
        <v>80</v>
      </c>
      <c r="E436" s="18">
        <v>70</v>
      </c>
      <c r="H436" s="18">
        <f t="shared" si="9"/>
        <v>400</v>
      </c>
      <c r="I436" s="18">
        <v>166.67</v>
      </c>
      <c r="J436" s="18" t="s">
        <v>160</v>
      </c>
      <c r="N436" s="18">
        <v>96.35</v>
      </c>
      <c r="R436" s="19" t="s">
        <v>161</v>
      </c>
    </row>
    <row r="437" spans="1:18" x14ac:dyDescent="0.3">
      <c r="A437" s="18">
        <v>120</v>
      </c>
      <c r="B437" s="18">
        <v>500</v>
      </c>
      <c r="C437" s="18">
        <v>30</v>
      </c>
      <c r="D437" s="18">
        <v>80</v>
      </c>
      <c r="E437" s="18">
        <v>70</v>
      </c>
      <c r="H437" s="18">
        <f t="shared" si="9"/>
        <v>240</v>
      </c>
      <c r="I437" s="18">
        <v>100</v>
      </c>
      <c r="J437" s="18" t="s">
        <v>160</v>
      </c>
      <c r="N437" s="18">
        <v>96.72</v>
      </c>
      <c r="R437" s="19" t="s">
        <v>161</v>
      </c>
    </row>
    <row r="438" spans="1:18" x14ac:dyDescent="0.3">
      <c r="A438" s="18">
        <v>120</v>
      </c>
      <c r="B438" s="18">
        <v>700</v>
      </c>
      <c r="C438" s="18">
        <v>30</v>
      </c>
      <c r="D438" s="18">
        <v>80</v>
      </c>
      <c r="E438" s="18">
        <v>70</v>
      </c>
      <c r="H438" s="18">
        <f t="shared" si="9"/>
        <v>171.42857142857142</v>
      </c>
      <c r="I438" s="18">
        <v>71.430000000000007</v>
      </c>
      <c r="J438" s="18" t="s">
        <v>160</v>
      </c>
      <c r="N438" s="18">
        <v>88.74</v>
      </c>
      <c r="R438" s="19" t="s">
        <v>161</v>
      </c>
    </row>
    <row r="439" spans="1:18" x14ac:dyDescent="0.3">
      <c r="A439" s="18">
        <v>120</v>
      </c>
      <c r="B439" s="18">
        <v>900</v>
      </c>
      <c r="C439" s="18">
        <v>30</v>
      </c>
      <c r="D439" s="18">
        <v>80</v>
      </c>
      <c r="E439" s="18">
        <v>70</v>
      </c>
      <c r="H439" s="18">
        <f t="shared" si="9"/>
        <v>133.33333333333334</v>
      </c>
      <c r="I439" s="18">
        <v>55.56</v>
      </c>
      <c r="J439" s="18" t="s">
        <v>160</v>
      </c>
      <c r="N439" s="18">
        <v>86.27</v>
      </c>
      <c r="R439" s="19" t="s">
        <v>161</v>
      </c>
    </row>
    <row r="440" spans="1:18" x14ac:dyDescent="0.3">
      <c r="A440" s="18">
        <v>150</v>
      </c>
      <c r="B440" s="18">
        <v>400</v>
      </c>
      <c r="C440" s="18">
        <v>30</v>
      </c>
      <c r="D440" s="18">
        <v>80</v>
      </c>
      <c r="E440" s="18">
        <v>70</v>
      </c>
      <c r="H440" s="18">
        <f t="shared" si="9"/>
        <v>375</v>
      </c>
      <c r="I440" s="18">
        <v>156.25</v>
      </c>
      <c r="J440" s="18" t="s">
        <v>160</v>
      </c>
      <c r="N440" s="18">
        <v>98.93</v>
      </c>
      <c r="R440" s="19" t="s">
        <v>161</v>
      </c>
    </row>
    <row r="441" spans="1:18" x14ac:dyDescent="0.3">
      <c r="A441" s="18">
        <v>150</v>
      </c>
      <c r="B441" s="18">
        <v>700</v>
      </c>
      <c r="C441" s="18">
        <v>30</v>
      </c>
      <c r="D441" s="18">
        <v>80</v>
      </c>
      <c r="E441" s="18">
        <v>70</v>
      </c>
      <c r="H441" s="18">
        <f t="shared" si="9"/>
        <v>214.28571428571428</v>
      </c>
      <c r="I441" s="18">
        <v>89.29</v>
      </c>
      <c r="J441" s="18" t="s">
        <v>160</v>
      </c>
      <c r="N441" s="18">
        <v>95.23</v>
      </c>
      <c r="R441" s="19" t="s">
        <v>161</v>
      </c>
    </row>
    <row r="442" spans="1:18" x14ac:dyDescent="0.3">
      <c r="A442" s="18">
        <v>150</v>
      </c>
      <c r="B442" s="18">
        <v>1000</v>
      </c>
      <c r="C442" s="18">
        <v>30</v>
      </c>
      <c r="D442" s="18">
        <v>80</v>
      </c>
      <c r="E442" s="18">
        <v>70</v>
      </c>
      <c r="H442" s="18">
        <f t="shared" si="9"/>
        <v>150</v>
      </c>
      <c r="I442" s="18">
        <v>62.5</v>
      </c>
      <c r="J442" s="18" t="s">
        <v>160</v>
      </c>
      <c r="N442" s="18">
        <v>87.78</v>
      </c>
      <c r="R442" s="19" t="s">
        <v>161</v>
      </c>
    </row>
    <row r="443" spans="1:18" x14ac:dyDescent="0.3">
      <c r="A443" s="18">
        <v>150</v>
      </c>
      <c r="B443" s="18">
        <v>1300</v>
      </c>
      <c r="C443" s="18">
        <v>30</v>
      </c>
      <c r="D443" s="18">
        <v>80</v>
      </c>
      <c r="E443" s="18">
        <v>70</v>
      </c>
      <c r="H443" s="18">
        <f t="shared" si="9"/>
        <v>115.38461538461539</v>
      </c>
      <c r="I443" s="18">
        <v>48.08</v>
      </c>
      <c r="J443" s="18" t="s">
        <v>160</v>
      </c>
      <c r="N443" s="18">
        <v>79.53</v>
      </c>
      <c r="R443" s="19" t="s">
        <v>161</v>
      </c>
    </row>
    <row r="444" spans="1:18" x14ac:dyDescent="0.3">
      <c r="A444" s="18">
        <v>150</v>
      </c>
      <c r="B444" s="18">
        <v>700</v>
      </c>
      <c r="C444" s="18">
        <v>30</v>
      </c>
      <c r="D444" s="18">
        <v>60</v>
      </c>
      <c r="E444" s="18">
        <v>70</v>
      </c>
      <c r="H444" s="18">
        <f t="shared" si="9"/>
        <v>214.28571428571428</v>
      </c>
      <c r="I444" s="18">
        <v>119.05</v>
      </c>
      <c r="J444" s="18" t="s">
        <v>160</v>
      </c>
      <c r="N444" s="18">
        <v>96.64</v>
      </c>
      <c r="R444" s="19" t="s">
        <v>161</v>
      </c>
    </row>
    <row r="445" spans="1:18" x14ac:dyDescent="0.3">
      <c r="A445" s="18">
        <v>150</v>
      </c>
      <c r="B445" s="18">
        <v>700</v>
      </c>
      <c r="C445" s="18">
        <v>30</v>
      </c>
      <c r="D445" s="18">
        <v>70</v>
      </c>
      <c r="E445" s="18">
        <v>70</v>
      </c>
      <c r="H445" s="18">
        <f t="shared" si="9"/>
        <v>214.28571428571428</v>
      </c>
      <c r="I445" s="18">
        <v>102.04</v>
      </c>
      <c r="J445" s="18" t="s">
        <v>160</v>
      </c>
      <c r="N445" s="18">
        <v>96.68</v>
      </c>
      <c r="R445" s="19" t="s">
        <v>161</v>
      </c>
    </row>
    <row r="446" spans="1:18" x14ac:dyDescent="0.3">
      <c r="A446" s="18">
        <v>150</v>
      </c>
      <c r="B446" s="18">
        <v>700</v>
      </c>
      <c r="C446" s="18">
        <v>30</v>
      </c>
      <c r="D446" s="18">
        <v>90</v>
      </c>
      <c r="E446" s="18">
        <v>70</v>
      </c>
      <c r="H446" s="18">
        <f t="shared" si="9"/>
        <v>214.28571428571428</v>
      </c>
      <c r="I446" s="18">
        <v>79.37</v>
      </c>
      <c r="J446" s="18" t="s">
        <v>160</v>
      </c>
      <c r="N446" s="18">
        <v>94.53</v>
      </c>
      <c r="R446" s="19" t="s">
        <v>161</v>
      </c>
    </row>
    <row r="447" spans="1:18" x14ac:dyDescent="0.3">
      <c r="A447" s="18">
        <v>150</v>
      </c>
      <c r="B447" s="18">
        <v>700</v>
      </c>
      <c r="C447" s="18">
        <v>30</v>
      </c>
      <c r="D447" s="18">
        <v>100</v>
      </c>
      <c r="E447" s="18">
        <v>70</v>
      </c>
      <c r="H447" s="18">
        <f t="shared" si="9"/>
        <v>214.28571428571428</v>
      </c>
      <c r="I447" s="18">
        <v>71.430000000000007</v>
      </c>
      <c r="J447" s="18" t="s">
        <v>160</v>
      </c>
      <c r="N447" s="18">
        <v>89.5</v>
      </c>
      <c r="R447" s="19" t="s">
        <v>161</v>
      </c>
    </row>
    <row r="448" spans="1:18" x14ac:dyDescent="0.3">
      <c r="A448" s="18">
        <v>150</v>
      </c>
      <c r="B448" s="18">
        <v>350</v>
      </c>
      <c r="C448" s="18">
        <v>30</v>
      </c>
      <c r="D448" s="18">
        <v>80</v>
      </c>
      <c r="E448" s="18">
        <v>70</v>
      </c>
      <c r="H448" s="18">
        <f t="shared" si="9"/>
        <v>428.57142857142856</v>
      </c>
      <c r="I448" s="18">
        <v>178.57</v>
      </c>
      <c r="J448" s="18" t="s">
        <v>160</v>
      </c>
      <c r="N448" s="18">
        <v>95.12</v>
      </c>
      <c r="R448" s="19" t="s">
        <v>161</v>
      </c>
    </row>
    <row r="449" spans="1:18" x14ac:dyDescent="0.3">
      <c r="A449" s="18">
        <v>150</v>
      </c>
      <c r="B449" s="18">
        <v>400</v>
      </c>
      <c r="C449" s="18">
        <v>30</v>
      </c>
      <c r="D449" s="18">
        <v>80</v>
      </c>
      <c r="E449" s="18">
        <v>70</v>
      </c>
      <c r="H449" s="18">
        <f t="shared" si="9"/>
        <v>375</v>
      </c>
      <c r="I449" s="18">
        <v>156.25</v>
      </c>
      <c r="J449" s="18" t="s">
        <v>160</v>
      </c>
      <c r="N449" s="18">
        <v>99.35</v>
      </c>
      <c r="R449" s="19" t="s">
        <v>161</v>
      </c>
    </row>
    <row r="450" spans="1:18" x14ac:dyDescent="0.3">
      <c r="A450" s="18">
        <v>150</v>
      </c>
      <c r="B450" s="18">
        <v>450</v>
      </c>
      <c r="C450" s="18">
        <v>30</v>
      </c>
      <c r="D450" s="18">
        <v>80</v>
      </c>
      <c r="E450" s="18">
        <v>70</v>
      </c>
      <c r="H450" s="18">
        <f t="shared" si="9"/>
        <v>333.33333333333331</v>
      </c>
      <c r="I450" s="18">
        <v>138.88999999999999</v>
      </c>
      <c r="J450" s="18" t="s">
        <v>160</v>
      </c>
      <c r="N450" s="18">
        <v>98.23</v>
      </c>
      <c r="R450" s="19" t="s">
        <v>161</v>
      </c>
    </row>
    <row r="451" spans="1:18" x14ac:dyDescent="0.3">
      <c r="A451" s="18">
        <v>150</v>
      </c>
      <c r="B451" s="18">
        <v>500</v>
      </c>
      <c r="C451" s="18">
        <v>30</v>
      </c>
      <c r="D451" s="18">
        <v>80</v>
      </c>
      <c r="E451" s="18">
        <v>70</v>
      </c>
      <c r="H451" s="18">
        <f t="shared" si="9"/>
        <v>300</v>
      </c>
      <c r="I451" s="18">
        <v>125</v>
      </c>
      <c r="J451" s="18" t="s">
        <v>160</v>
      </c>
      <c r="N451" s="18">
        <v>97.87</v>
      </c>
      <c r="R451" s="19" t="s">
        <v>161</v>
      </c>
    </row>
    <row r="452" spans="1:18" x14ac:dyDescent="0.3">
      <c r="A452" s="18">
        <v>150</v>
      </c>
      <c r="B452" s="18">
        <v>550</v>
      </c>
      <c r="C452" s="18">
        <v>30</v>
      </c>
      <c r="D452" s="18">
        <v>80</v>
      </c>
      <c r="E452" s="18">
        <v>70</v>
      </c>
      <c r="H452" s="18">
        <f t="shared" si="9"/>
        <v>272.72727272727269</v>
      </c>
      <c r="I452" s="18">
        <v>113.64</v>
      </c>
      <c r="J452" s="18" t="s">
        <v>160</v>
      </c>
      <c r="N452" s="18">
        <v>96.61</v>
      </c>
      <c r="R452" s="19" t="s">
        <v>161</v>
      </c>
    </row>
    <row r="453" spans="1:18" x14ac:dyDescent="0.3">
      <c r="A453" s="18">
        <v>150</v>
      </c>
      <c r="B453" s="18">
        <v>600</v>
      </c>
      <c r="C453" s="18">
        <v>30</v>
      </c>
      <c r="D453" s="18">
        <v>80</v>
      </c>
      <c r="E453" s="18">
        <v>70</v>
      </c>
      <c r="H453" s="18">
        <f t="shared" si="9"/>
        <v>250</v>
      </c>
      <c r="I453" s="18">
        <v>104.17</v>
      </c>
      <c r="J453" s="18" t="s">
        <v>160</v>
      </c>
      <c r="N453" s="18">
        <v>96.13</v>
      </c>
      <c r="R453" s="19" t="s">
        <v>161</v>
      </c>
    </row>
    <row r="454" spans="1:18" x14ac:dyDescent="0.3">
      <c r="A454" s="18">
        <v>150</v>
      </c>
      <c r="B454" s="18">
        <v>700</v>
      </c>
      <c r="C454" s="18">
        <v>30</v>
      </c>
      <c r="D454" s="18">
        <v>80</v>
      </c>
      <c r="E454" s="18">
        <v>70</v>
      </c>
      <c r="H454" s="18">
        <f t="shared" si="9"/>
        <v>214.28571428571428</v>
      </c>
      <c r="I454" s="18">
        <v>89.29</v>
      </c>
      <c r="J454" s="18" t="s">
        <v>160</v>
      </c>
      <c r="N454" s="18">
        <v>95.54</v>
      </c>
      <c r="R454" s="19" t="s">
        <v>161</v>
      </c>
    </row>
    <row r="455" spans="1:18" x14ac:dyDescent="0.3">
      <c r="A455" s="18">
        <v>150</v>
      </c>
      <c r="B455" s="18">
        <v>800</v>
      </c>
      <c r="C455" s="18">
        <v>30</v>
      </c>
      <c r="D455" s="18">
        <v>80</v>
      </c>
      <c r="E455" s="18">
        <v>70</v>
      </c>
      <c r="H455" s="18">
        <f t="shared" si="9"/>
        <v>187.5</v>
      </c>
      <c r="I455" s="18">
        <v>78.13</v>
      </c>
      <c r="J455" s="18" t="s">
        <v>160</v>
      </c>
      <c r="N455" s="18">
        <v>93.13</v>
      </c>
      <c r="R455" s="19" t="s">
        <v>161</v>
      </c>
    </row>
    <row r="456" spans="1:18" x14ac:dyDescent="0.3">
      <c r="A456" s="18">
        <v>150</v>
      </c>
      <c r="B456" s="18">
        <v>400</v>
      </c>
      <c r="C456" s="18">
        <v>30</v>
      </c>
      <c r="D456" s="18">
        <v>60</v>
      </c>
      <c r="E456" s="18">
        <v>70</v>
      </c>
      <c r="H456" s="18">
        <f t="shared" si="9"/>
        <v>375</v>
      </c>
      <c r="I456" s="18">
        <v>208.33</v>
      </c>
      <c r="J456" s="18" t="s">
        <v>160</v>
      </c>
      <c r="N456" s="18">
        <v>93.16</v>
      </c>
      <c r="R456" s="19" t="s">
        <v>161</v>
      </c>
    </row>
    <row r="457" spans="1:18" x14ac:dyDescent="0.3">
      <c r="A457" s="18">
        <v>150</v>
      </c>
      <c r="B457" s="18">
        <v>400</v>
      </c>
      <c r="C457" s="18">
        <v>30</v>
      </c>
      <c r="D457" s="18">
        <v>70</v>
      </c>
      <c r="E457" s="18">
        <v>70</v>
      </c>
      <c r="H457" s="18">
        <f t="shared" si="9"/>
        <v>375</v>
      </c>
      <c r="I457" s="18">
        <v>178.57</v>
      </c>
      <c r="J457" s="18" t="s">
        <v>160</v>
      </c>
      <c r="N457" s="18">
        <v>95.05</v>
      </c>
      <c r="R457" s="19" t="s">
        <v>161</v>
      </c>
    </row>
    <row r="458" spans="1:18" x14ac:dyDescent="0.3">
      <c r="A458" s="18">
        <v>150</v>
      </c>
      <c r="B458" s="18">
        <v>400</v>
      </c>
      <c r="C458" s="18">
        <v>30</v>
      </c>
      <c r="D458" s="18">
        <v>90</v>
      </c>
      <c r="E458" s="18">
        <v>70</v>
      </c>
      <c r="H458" s="18">
        <f t="shared" si="9"/>
        <v>375</v>
      </c>
      <c r="I458" s="18">
        <v>138.88999999999999</v>
      </c>
      <c r="J458" s="18" t="s">
        <v>160</v>
      </c>
      <c r="N458" s="18">
        <v>98.76</v>
      </c>
      <c r="R458" s="19" t="s">
        <v>161</v>
      </c>
    </row>
    <row r="459" spans="1:18" x14ac:dyDescent="0.3">
      <c r="A459" s="18">
        <v>150</v>
      </c>
      <c r="B459" s="18">
        <v>400</v>
      </c>
      <c r="C459" s="18">
        <v>30</v>
      </c>
      <c r="D459" s="18">
        <v>100</v>
      </c>
      <c r="E459" s="18">
        <v>70</v>
      </c>
      <c r="H459" s="18">
        <f t="shared" si="9"/>
        <v>375</v>
      </c>
      <c r="I459" s="18">
        <v>125</v>
      </c>
      <c r="J459" s="18" t="s">
        <v>160</v>
      </c>
      <c r="N459" s="18">
        <v>97.87</v>
      </c>
      <c r="R459" s="19" t="s">
        <v>161</v>
      </c>
    </row>
    <row r="460" spans="1:18" x14ac:dyDescent="0.3">
      <c r="A460" s="18">
        <v>150</v>
      </c>
      <c r="B460" s="18">
        <v>600</v>
      </c>
      <c r="C460" s="18">
        <v>30</v>
      </c>
      <c r="D460" s="18">
        <v>60</v>
      </c>
      <c r="E460" s="18">
        <v>70</v>
      </c>
      <c r="H460" s="18">
        <f t="shared" si="9"/>
        <v>250</v>
      </c>
      <c r="I460" s="18">
        <v>138.88999999999999</v>
      </c>
      <c r="J460" s="18" t="s">
        <v>160</v>
      </c>
      <c r="N460" s="18">
        <v>98.23</v>
      </c>
      <c r="R460" s="19" t="s">
        <v>161</v>
      </c>
    </row>
    <row r="461" spans="1:18" x14ac:dyDescent="0.3">
      <c r="A461" s="18">
        <v>150</v>
      </c>
      <c r="B461" s="18">
        <v>600</v>
      </c>
      <c r="C461" s="18">
        <v>30</v>
      </c>
      <c r="D461" s="18">
        <v>70</v>
      </c>
      <c r="E461" s="18">
        <v>70</v>
      </c>
      <c r="H461" s="18">
        <f t="shared" si="9"/>
        <v>250</v>
      </c>
      <c r="I461" s="18">
        <v>119.05</v>
      </c>
      <c r="J461" s="18" t="s">
        <v>160</v>
      </c>
      <c r="N461" s="18">
        <v>96.64</v>
      </c>
      <c r="R461" s="19" t="s">
        <v>161</v>
      </c>
    </row>
    <row r="462" spans="1:18" x14ac:dyDescent="0.3">
      <c r="A462" s="18">
        <v>150</v>
      </c>
      <c r="B462" s="18">
        <v>600</v>
      </c>
      <c r="C462" s="18">
        <v>30</v>
      </c>
      <c r="D462" s="18">
        <v>90</v>
      </c>
      <c r="E462" s="18">
        <v>70</v>
      </c>
      <c r="H462" s="18">
        <f t="shared" si="9"/>
        <v>250</v>
      </c>
      <c r="I462" s="18">
        <v>92.59</v>
      </c>
      <c r="J462" s="18" t="s">
        <v>160</v>
      </c>
      <c r="N462" s="18">
        <v>95.56</v>
      </c>
      <c r="R462" s="19" t="s">
        <v>161</v>
      </c>
    </row>
    <row r="463" spans="1:18" x14ac:dyDescent="0.3">
      <c r="A463" s="18">
        <v>150</v>
      </c>
      <c r="B463" s="18">
        <v>600</v>
      </c>
      <c r="C463" s="18">
        <v>30</v>
      </c>
      <c r="D463" s="18">
        <v>100</v>
      </c>
      <c r="E463" s="18">
        <v>70</v>
      </c>
      <c r="H463" s="18">
        <f t="shared" si="9"/>
        <v>250</v>
      </c>
      <c r="I463" s="18">
        <v>83.33</v>
      </c>
      <c r="J463" s="18" t="s">
        <v>160</v>
      </c>
      <c r="N463" s="18">
        <v>94.26</v>
      </c>
      <c r="R463" s="19" t="s">
        <v>161</v>
      </c>
    </row>
    <row r="464" spans="1:18" x14ac:dyDescent="0.3">
      <c r="A464" s="18">
        <v>60</v>
      </c>
      <c r="B464" s="18">
        <v>30</v>
      </c>
      <c r="C464" s="18">
        <v>30</v>
      </c>
      <c r="D464" s="18">
        <v>120</v>
      </c>
      <c r="E464" s="18">
        <v>80</v>
      </c>
      <c r="F464" s="18" t="s">
        <v>64</v>
      </c>
      <c r="G464" s="18">
        <v>90</v>
      </c>
      <c r="H464" s="18">
        <f t="shared" si="9"/>
        <v>2000</v>
      </c>
      <c r="I464" s="18">
        <v>555.54999999999995</v>
      </c>
      <c r="L464" s="18">
        <v>517</v>
      </c>
      <c r="M464" s="18">
        <v>633</v>
      </c>
      <c r="P464" s="18" t="s">
        <v>27</v>
      </c>
      <c r="Q464" s="18" t="s">
        <v>58</v>
      </c>
      <c r="R464" t="s">
        <v>162</v>
      </c>
    </row>
    <row r="465" spans="1:18" x14ac:dyDescent="0.3">
      <c r="A465" s="18">
        <v>175</v>
      </c>
      <c r="B465" s="18">
        <v>750</v>
      </c>
      <c r="C465" s="18">
        <v>30</v>
      </c>
      <c r="D465" s="18">
        <v>120</v>
      </c>
      <c r="E465" s="18">
        <v>80</v>
      </c>
      <c r="F465" s="18" t="s">
        <v>64</v>
      </c>
      <c r="G465" s="18">
        <v>90</v>
      </c>
      <c r="H465" s="18">
        <f t="shared" si="9"/>
        <v>233.33333333333334</v>
      </c>
      <c r="I465" s="18">
        <v>64.81</v>
      </c>
      <c r="L465" s="18">
        <v>492</v>
      </c>
      <c r="M465" s="18">
        <v>619</v>
      </c>
      <c r="P465" s="18" t="s">
        <v>27</v>
      </c>
      <c r="Q465" s="18" t="s">
        <v>58</v>
      </c>
      <c r="R465" t="s">
        <v>162</v>
      </c>
    </row>
    <row r="466" spans="1:18" x14ac:dyDescent="0.3">
      <c r="A466" s="18">
        <v>380</v>
      </c>
      <c r="B466" s="18">
        <v>2500</v>
      </c>
      <c r="C466" s="18">
        <v>30</v>
      </c>
      <c r="D466" s="18">
        <v>25</v>
      </c>
      <c r="E466" s="18">
        <v>80</v>
      </c>
      <c r="F466" s="18" t="s">
        <v>64</v>
      </c>
      <c r="G466" s="18">
        <v>90</v>
      </c>
      <c r="H466" s="18">
        <f t="shared" si="9"/>
        <v>152</v>
      </c>
      <c r="I466" s="18">
        <v>202.67</v>
      </c>
      <c r="L466" s="18">
        <v>441</v>
      </c>
      <c r="M466" s="18">
        <v>529</v>
      </c>
      <c r="P466" s="18" t="s">
        <v>27</v>
      </c>
      <c r="Q466" s="18" t="s">
        <v>58</v>
      </c>
      <c r="R466" t="s">
        <v>162</v>
      </c>
    </row>
    <row r="467" spans="1:18" x14ac:dyDescent="0.3">
      <c r="A467" s="18">
        <v>175</v>
      </c>
      <c r="C467" s="18">
        <v>40</v>
      </c>
      <c r="D467" s="18">
        <v>18</v>
      </c>
      <c r="I467" s="18">
        <v>810.18</v>
      </c>
      <c r="N467" s="18">
        <v>98.93</v>
      </c>
      <c r="O467" s="26" t="s">
        <v>163</v>
      </c>
      <c r="P467" s="18" t="s">
        <v>27</v>
      </c>
      <c r="Q467" s="18" t="s">
        <v>58</v>
      </c>
      <c r="R467" s="19" t="s">
        <v>164</v>
      </c>
    </row>
    <row r="468" spans="1:18" x14ac:dyDescent="0.3">
      <c r="A468" s="18">
        <v>125</v>
      </c>
      <c r="C468" s="18">
        <v>40</v>
      </c>
      <c r="D468" s="18">
        <v>18</v>
      </c>
      <c r="I468" s="18">
        <v>925.92</v>
      </c>
      <c r="N468" s="18">
        <v>98.15</v>
      </c>
      <c r="O468" s="26" t="s">
        <v>165</v>
      </c>
      <c r="P468" s="18" t="s">
        <v>27</v>
      </c>
      <c r="Q468" s="18" t="s">
        <v>58</v>
      </c>
      <c r="R468" s="19" t="s">
        <v>164</v>
      </c>
    </row>
    <row r="469" spans="1:18" x14ac:dyDescent="0.3">
      <c r="A469" s="18">
        <v>175</v>
      </c>
      <c r="C469" s="18">
        <v>40</v>
      </c>
      <c r="D469" s="18">
        <v>18</v>
      </c>
      <c r="I469" s="18">
        <v>1296.29</v>
      </c>
      <c r="N469" s="18">
        <v>97.8</v>
      </c>
      <c r="O469" s="26" t="s">
        <v>166</v>
      </c>
      <c r="P469" s="18" t="s">
        <v>167</v>
      </c>
      <c r="Q469" s="18" t="s">
        <v>32</v>
      </c>
      <c r="R469" s="19" t="s">
        <v>164</v>
      </c>
    </row>
    <row r="470" spans="1:18" x14ac:dyDescent="0.3">
      <c r="A470" s="18">
        <v>175</v>
      </c>
      <c r="C470" s="18">
        <v>40</v>
      </c>
      <c r="D470" s="18">
        <v>37</v>
      </c>
      <c r="I470" s="18">
        <v>394.14</v>
      </c>
      <c r="N470" s="18">
        <v>98.85</v>
      </c>
      <c r="O470" s="26" t="s">
        <v>163</v>
      </c>
      <c r="P470" s="18" t="s">
        <v>27</v>
      </c>
      <c r="Q470" s="18" t="s">
        <v>58</v>
      </c>
      <c r="R470" s="19" t="s">
        <v>164</v>
      </c>
    </row>
    <row r="471" spans="1:18" x14ac:dyDescent="0.3">
      <c r="A471" s="18">
        <v>125</v>
      </c>
      <c r="C471" s="18">
        <v>40</v>
      </c>
      <c r="D471" s="18">
        <v>37</v>
      </c>
      <c r="I471" s="18">
        <v>450.45</v>
      </c>
      <c r="N471" s="18">
        <v>97.65</v>
      </c>
      <c r="O471" s="26" t="s">
        <v>168</v>
      </c>
      <c r="P471" s="18" t="s">
        <v>167</v>
      </c>
      <c r="Q471" s="18" t="s">
        <v>32</v>
      </c>
      <c r="R471" s="19" t="s">
        <v>164</v>
      </c>
    </row>
    <row r="472" spans="1:18" x14ac:dyDescent="0.3">
      <c r="A472" s="18">
        <v>175</v>
      </c>
      <c r="C472" s="18">
        <v>40</v>
      </c>
      <c r="D472" s="18">
        <v>37</v>
      </c>
      <c r="I472" s="18">
        <v>630.63</v>
      </c>
      <c r="N472" s="18">
        <v>98.02</v>
      </c>
      <c r="O472" s="26" t="s">
        <v>163</v>
      </c>
      <c r="P472" s="18" t="s">
        <v>27</v>
      </c>
      <c r="Q472" s="18" t="s">
        <v>58</v>
      </c>
      <c r="R472" s="19" t="s">
        <v>164</v>
      </c>
    </row>
    <row r="473" spans="1:18" x14ac:dyDescent="0.3">
      <c r="A473" s="18">
        <v>175</v>
      </c>
      <c r="C473" s="18">
        <v>40</v>
      </c>
      <c r="D473" s="18">
        <v>56</v>
      </c>
      <c r="I473" s="18">
        <v>260.41000000000003</v>
      </c>
      <c r="N473" s="18">
        <v>99.27</v>
      </c>
      <c r="O473" s="26" t="s">
        <v>166</v>
      </c>
      <c r="P473" s="18" t="s">
        <v>167</v>
      </c>
      <c r="Q473" s="18" t="s">
        <v>32</v>
      </c>
      <c r="R473" s="19" t="s">
        <v>164</v>
      </c>
    </row>
    <row r="474" spans="1:18" x14ac:dyDescent="0.3">
      <c r="A474" s="18">
        <v>125</v>
      </c>
      <c r="C474" s="18">
        <v>40</v>
      </c>
      <c r="D474" s="18">
        <v>56</v>
      </c>
      <c r="I474" s="18">
        <v>297.61</v>
      </c>
      <c r="N474" s="18">
        <v>99.4</v>
      </c>
      <c r="O474" s="26" t="s">
        <v>165</v>
      </c>
      <c r="P474" s="18" t="s">
        <v>27</v>
      </c>
      <c r="Q474" s="18" t="s">
        <v>58</v>
      </c>
      <c r="R474" s="19" t="s">
        <v>164</v>
      </c>
    </row>
    <row r="475" spans="1:18" ht="17.399999999999999" customHeight="1" x14ac:dyDescent="0.3">
      <c r="A475" s="18">
        <v>175</v>
      </c>
      <c r="C475" s="18">
        <v>40</v>
      </c>
      <c r="D475" s="18">
        <v>56</v>
      </c>
      <c r="I475" s="18">
        <v>416.67</v>
      </c>
      <c r="N475" s="18">
        <v>99.54</v>
      </c>
      <c r="O475" s="26" t="s">
        <v>166</v>
      </c>
      <c r="P475" s="18" t="s">
        <v>167</v>
      </c>
      <c r="Q475" s="18" t="s">
        <v>32</v>
      </c>
      <c r="R475" s="19" t="s">
        <v>164</v>
      </c>
    </row>
    <row r="476" spans="1:18" x14ac:dyDescent="0.3">
      <c r="A476" s="18">
        <v>31</v>
      </c>
      <c r="B476" s="18">
        <v>300</v>
      </c>
      <c r="C476" s="18">
        <v>30</v>
      </c>
      <c r="D476" s="18">
        <v>50</v>
      </c>
      <c r="E476" s="18">
        <v>50</v>
      </c>
      <c r="F476" s="18" t="s">
        <v>169</v>
      </c>
      <c r="G476" s="18">
        <v>90</v>
      </c>
      <c r="H476" s="18">
        <f>((A476/B476)*1000)</f>
        <v>103.33333333333333</v>
      </c>
      <c r="I476" s="18">
        <v>66.67</v>
      </c>
      <c r="J476" s="18" t="s">
        <v>23</v>
      </c>
      <c r="K476" s="18">
        <v>200</v>
      </c>
      <c r="N476" s="18">
        <v>87.71</v>
      </c>
      <c r="O476" s="26" t="s">
        <v>170</v>
      </c>
      <c r="P476" s="18" t="s">
        <v>27</v>
      </c>
      <c r="Q476" s="18" t="s">
        <v>58</v>
      </c>
      <c r="R476" s="19" t="s">
        <v>171</v>
      </c>
    </row>
    <row r="477" spans="1:18" x14ac:dyDescent="0.3">
      <c r="A477" s="18">
        <v>60</v>
      </c>
      <c r="B477" s="18">
        <v>1400</v>
      </c>
      <c r="C477" s="18">
        <v>30</v>
      </c>
      <c r="D477" s="18">
        <v>50</v>
      </c>
      <c r="E477" s="18">
        <v>50</v>
      </c>
      <c r="F477" s="18" t="s">
        <v>169</v>
      </c>
      <c r="G477" s="18">
        <v>90</v>
      </c>
      <c r="H477" s="18">
        <f t="shared" ref="H477:H550" si="10">((A477/B477)*1000)</f>
        <v>42.857142857142854</v>
      </c>
      <c r="I477" s="18">
        <v>28.57</v>
      </c>
      <c r="J477" s="18" t="s">
        <v>23</v>
      </c>
      <c r="K477" s="18">
        <v>155</v>
      </c>
      <c r="N477" s="18">
        <v>82.7</v>
      </c>
      <c r="O477" s="26" t="s">
        <v>172</v>
      </c>
      <c r="P477" s="18" t="s">
        <v>39</v>
      </c>
      <c r="Q477" s="18" t="s">
        <v>58</v>
      </c>
      <c r="R477" s="19" t="s">
        <v>171</v>
      </c>
    </row>
    <row r="478" spans="1:18" x14ac:dyDescent="0.3">
      <c r="A478" s="18">
        <v>75</v>
      </c>
      <c r="B478" s="18">
        <v>1050</v>
      </c>
      <c r="C478" s="18">
        <v>30</v>
      </c>
      <c r="D478" s="18">
        <v>50</v>
      </c>
      <c r="E478" s="18">
        <v>50</v>
      </c>
      <c r="F478" s="18" t="s">
        <v>169</v>
      </c>
      <c r="G478" s="18">
        <v>90</v>
      </c>
      <c r="H478" s="18">
        <f t="shared" si="10"/>
        <v>71.428571428571431</v>
      </c>
      <c r="I478" s="18">
        <v>47.62</v>
      </c>
      <c r="J478" s="18" t="s">
        <v>23</v>
      </c>
      <c r="K478" s="18">
        <v>233</v>
      </c>
      <c r="N478" s="18">
        <v>96.49</v>
      </c>
      <c r="O478" s="26" t="s">
        <v>72</v>
      </c>
      <c r="P478" s="18" t="s">
        <v>27</v>
      </c>
      <c r="Q478" s="18" t="s">
        <v>58</v>
      </c>
      <c r="R478" s="19" t="s">
        <v>171</v>
      </c>
    </row>
    <row r="479" spans="1:18" x14ac:dyDescent="0.3">
      <c r="A479" s="18">
        <v>89</v>
      </c>
      <c r="B479" s="18">
        <v>1400</v>
      </c>
      <c r="C479" s="18">
        <v>30</v>
      </c>
      <c r="D479" s="18">
        <v>50</v>
      </c>
      <c r="E479" s="18">
        <v>50</v>
      </c>
      <c r="F479" s="18" t="s">
        <v>169</v>
      </c>
      <c r="G479" s="18">
        <v>90</v>
      </c>
      <c r="H479" s="18">
        <f t="shared" si="10"/>
        <v>63.571428571428569</v>
      </c>
      <c r="I479" s="18">
        <v>42.86</v>
      </c>
      <c r="J479" s="18" t="s">
        <v>23</v>
      </c>
      <c r="K479" s="18">
        <v>226</v>
      </c>
      <c r="N479" s="18">
        <v>96.49</v>
      </c>
      <c r="O479" s="26" t="s">
        <v>170</v>
      </c>
      <c r="P479" s="18" t="s">
        <v>27</v>
      </c>
      <c r="Q479" s="18" t="s">
        <v>58</v>
      </c>
      <c r="R479" s="19" t="s">
        <v>171</v>
      </c>
    </row>
    <row r="480" spans="1:18" x14ac:dyDescent="0.3">
      <c r="A480" s="18">
        <v>89</v>
      </c>
      <c r="B480" s="18">
        <v>1400</v>
      </c>
      <c r="C480" s="18">
        <v>40</v>
      </c>
      <c r="D480" s="18">
        <v>50</v>
      </c>
      <c r="E480" s="18">
        <v>50</v>
      </c>
      <c r="F480" s="18" t="s">
        <v>169</v>
      </c>
      <c r="G480" s="18">
        <v>90</v>
      </c>
      <c r="H480" s="18">
        <f t="shared" si="10"/>
        <v>63.571428571428569</v>
      </c>
      <c r="I480" s="18">
        <v>32.14</v>
      </c>
      <c r="J480" s="18" t="s">
        <v>23</v>
      </c>
      <c r="K480" s="18">
        <v>169</v>
      </c>
      <c r="N480" s="18">
        <v>88.97</v>
      </c>
      <c r="O480" s="26" t="s">
        <v>170</v>
      </c>
      <c r="P480" s="18" t="s">
        <v>27</v>
      </c>
      <c r="Q480" s="18" t="s">
        <v>58</v>
      </c>
      <c r="R480" s="19" t="s">
        <v>171</v>
      </c>
    </row>
    <row r="481" spans="1:18" x14ac:dyDescent="0.3">
      <c r="A481" s="18">
        <v>107</v>
      </c>
      <c r="B481" s="18">
        <v>1400</v>
      </c>
      <c r="C481" s="18">
        <v>30</v>
      </c>
      <c r="D481" s="18">
        <v>50</v>
      </c>
      <c r="E481" s="18">
        <v>50</v>
      </c>
      <c r="F481" s="18" t="s">
        <v>169</v>
      </c>
      <c r="G481" s="18">
        <v>90</v>
      </c>
      <c r="H481" s="18">
        <f t="shared" si="10"/>
        <v>76.428571428571431</v>
      </c>
      <c r="I481" s="18">
        <v>50.95</v>
      </c>
      <c r="J481" s="18" t="s">
        <v>23</v>
      </c>
      <c r="K481" s="18">
        <v>244</v>
      </c>
      <c r="N481" s="18">
        <v>92.73</v>
      </c>
      <c r="O481" s="26" t="s">
        <v>173</v>
      </c>
      <c r="P481" s="18" t="s">
        <v>27</v>
      </c>
      <c r="Q481" s="18" t="s">
        <v>58</v>
      </c>
      <c r="R481" s="19" t="s">
        <v>171</v>
      </c>
    </row>
    <row r="482" spans="1:18" x14ac:dyDescent="0.3">
      <c r="A482" s="18">
        <v>107</v>
      </c>
      <c r="B482" s="18">
        <v>1400</v>
      </c>
      <c r="C482" s="18">
        <v>40</v>
      </c>
      <c r="D482" s="18">
        <v>50</v>
      </c>
      <c r="E482" s="18">
        <v>50</v>
      </c>
      <c r="F482" s="18" t="s">
        <v>169</v>
      </c>
      <c r="G482" s="18">
        <v>90</v>
      </c>
      <c r="H482" s="18">
        <f t="shared" si="10"/>
        <v>76.428571428571431</v>
      </c>
      <c r="I482" s="18">
        <v>38.21</v>
      </c>
      <c r="J482" s="18" t="s">
        <v>23</v>
      </c>
      <c r="K482" s="18">
        <v>182</v>
      </c>
      <c r="N482" s="18">
        <v>85.21</v>
      </c>
      <c r="O482" s="26" t="s">
        <v>173</v>
      </c>
      <c r="P482" s="18" t="s">
        <v>27</v>
      </c>
      <c r="Q482" s="18" t="s">
        <v>58</v>
      </c>
      <c r="R482" s="19" t="s">
        <v>171</v>
      </c>
    </row>
    <row r="483" spans="1:18" x14ac:dyDescent="0.3">
      <c r="A483" s="18">
        <v>107</v>
      </c>
      <c r="B483" s="18">
        <v>1400</v>
      </c>
      <c r="C483" s="18">
        <v>30</v>
      </c>
      <c r="D483" s="18">
        <v>50</v>
      </c>
      <c r="E483" s="18">
        <v>50</v>
      </c>
      <c r="F483" s="18" t="s">
        <v>169</v>
      </c>
      <c r="G483" s="18">
        <v>90</v>
      </c>
      <c r="H483" s="18">
        <f t="shared" si="10"/>
        <v>76.428571428571431</v>
      </c>
      <c r="I483" s="18">
        <v>50.95</v>
      </c>
      <c r="J483" s="18" t="s">
        <v>23</v>
      </c>
      <c r="K483" s="18">
        <v>235</v>
      </c>
      <c r="N483" s="18">
        <v>97.74</v>
      </c>
      <c r="O483" s="26" t="s">
        <v>174</v>
      </c>
      <c r="P483" s="18" t="s">
        <v>27</v>
      </c>
      <c r="Q483" s="18" t="s">
        <v>58</v>
      </c>
      <c r="R483" s="19" t="s">
        <v>171</v>
      </c>
    </row>
    <row r="484" spans="1:18" x14ac:dyDescent="0.3">
      <c r="A484" s="18">
        <v>119</v>
      </c>
      <c r="B484" s="18">
        <v>800</v>
      </c>
      <c r="C484" s="18">
        <v>30</v>
      </c>
      <c r="D484" s="18">
        <v>50</v>
      </c>
      <c r="E484" s="18">
        <v>50</v>
      </c>
      <c r="F484" s="18" t="s">
        <v>169</v>
      </c>
      <c r="G484" s="18">
        <v>90</v>
      </c>
      <c r="H484" s="18">
        <f t="shared" si="10"/>
        <v>148.75</v>
      </c>
      <c r="I484" s="18">
        <v>100</v>
      </c>
      <c r="J484" s="18" t="s">
        <v>23</v>
      </c>
      <c r="K484" s="18">
        <v>231</v>
      </c>
      <c r="N484" s="18">
        <v>97.74</v>
      </c>
      <c r="O484" s="26" t="s">
        <v>175</v>
      </c>
      <c r="P484" s="18" t="s">
        <v>27</v>
      </c>
      <c r="Q484" s="18" t="s">
        <v>58</v>
      </c>
      <c r="R484" s="19" t="s">
        <v>171</v>
      </c>
    </row>
    <row r="485" spans="1:18" x14ac:dyDescent="0.3">
      <c r="A485" s="18">
        <v>119</v>
      </c>
      <c r="B485" s="18">
        <v>800</v>
      </c>
      <c r="C485" s="18">
        <v>30</v>
      </c>
      <c r="D485" s="18">
        <v>50</v>
      </c>
      <c r="E485" s="18">
        <v>50</v>
      </c>
      <c r="F485" s="18" t="s">
        <v>169</v>
      </c>
      <c r="G485" s="18">
        <v>90</v>
      </c>
      <c r="H485" s="18">
        <f t="shared" si="10"/>
        <v>148.75</v>
      </c>
      <c r="I485" s="18">
        <v>100</v>
      </c>
      <c r="J485" s="18" t="s">
        <v>23</v>
      </c>
      <c r="K485" s="18">
        <v>224</v>
      </c>
      <c r="N485" s="18">
        <v>97.74</v>
      </c>
      <c r="O485" s="26" t="s">
        <v>176</v>
      </c>
      <c r="P485" s="18" t="s">
        <v>27</v>
      </c>
      <c r="Q485" s="18" t="s">
        <v>58</v>
      </c>
      <c r="R485" s="19" t="s">
        <v>171</v>
      </c>
    </row>
    <row r="486" spans="1:18" x14ac:dyDescent="0.3">
      <c r="A486" s="18">
        <v>119</v>
      </c>
      <c r="B486" s="18">
        <v>800</v>
      </c>
      <c r="C486" s="18">
        <v>40</v>
      </c>
      <c r="D486" s="18">
        <v>50</v>
      </c>
      <c r="E486" s="18">
        <v>50</v>
      </c>
      <c r="F486" s="18" t="s">
        <v>169</v>
      </c>
      <c r="G486" s="18">
        <v>90</v>
      </c>
      <c r="H486" s="18">
        <f t="shared" si="10"/>
        <v>148.75</v>
      </c>
      <c r="I486" s="18">
        <v>75</v>
      </c>
      <c r="J486" s="18" t="s">
        <v>23</v>
      </c>
      <c r="K486" s="18">
        <v>230</v>
      </c>
      <c r="N486" s="18">
        <v>97.74</v>
      </c>
      <c r="O486" s="26" t="s">
        <v>174</v>
      </c>
      <c r="P486" s="18" t="s">
        <v>27</v>
      </c>
      <c r="Q486" s="18" t="s">
        <v>58</v>
      </c>
      <c r="R486" s="19" t="s">
        <v>171</v>
      </c>
    </row>
    <row r="487" spans="1:18" x14ac:dyDescent="0.3">
      <c r="A487" s="18">
        <v>119</v>
      </c>
      <c r="B487" s="18">
        <v>800</v>
      </c>
      <c r="C487" s="18">
        <v>40</v>
      </c>
      <c r="D487" s="18">
        <v>50</v>
      </c>
      <c r="E487" s="18">
        <v>50</v>
      </c>
      <c r="F487" s="18" t="s">
        <v>169</v>
      </c>
      <c r="G487" s="18">
        <v>90</v>
      </c>
      <c r="H487" s="18">
        <f t="shared" si="10"/>
        <v>148.75</v>
      </c>
      <c r="I487" s="18">
        <v>75</v>
      </c>
      <c r="J487" s="18" t="s">
        <v>23</v>
      </c>
      <c r="K487" s="18">
        <v>215</v>
      </c>
      <c r="N487" s="18">
        <v>96.49</v>
      </c>
      <c r="O487" s="26" t="s">
        <v>177</v>
      </c>
      <c r="P487" s="18" t="s">
        <v>27</v>
      </c>
      <c r="Q487" s="18" t="s">
        <v>58</v>
      </c>
      <c r="R487" s="19" t="s">
        <v>171</v>
      </c>
    </row>
    <row r="488" spans="1:18" x14ac:dyDescent="0.3">
      <c r="A488" s="18">
        <v>119</v>
      </c>
      <c r="B488" s="18">
        <v>1100</v>
      </c>
      <c r="C488" s="18">
        <v>30</v>
      </c>
      <c r="D488" s="18">
        <v>50</v>
      </c>
      <c r="E488" s="18">
        <v>50</v>
      </c>
      <c r="F488" s="18" t="s">
        <v>169</v>
      </c>
      <c r="G488" s="18">
        <v>90</v>
      </c>
      <c r="H488" s="18">
        <f t="shared" si="10"/>
        <v>108.18181818181819</v>
      </c>
      <c r="I488" s="18">
        <v>72.73</v>
      </c>
      <c r="J488" s="18" t="s">
        <v>23</v>
      </c>
      <c r="K488" s="18">
        <v>232</v>
      </c>
      <c r="N488" s="18">
        <v>96.49</v>
      </c>
      <c r="O488" s="26" t="s">
        <v>178</v>
      </c>
      <c r="P488" s="18" t="s">
        <v>27</v>
      </c>
      <c r="Q488" s="18" t="s">
        <v>58</v>
      </c>
      <c r="R488" s="19" t="s">
        <v>171</v>
      </c>
    </row>
    <row r="489" spans="1:18" x14ac:dyDescent="0.3">
      <c r="A489" s="18">
        <v>119</v>
      </c>
      <c r="B489" s="18">
        <v>1100</v>
      </c>
      <c r="C489" s="18">
        <v>40</v>
      </c>
      <c r="D489" s="18">
        <v>50</v>
      </c>
      <c r="E489" s="18">
        <v>50</v>
      </c>
      <c r="F489" s="18" t="s">
        <v>169</v>
      </c>
      <c r="G489" s="18">
        <v>90</v>
      </c>
      <c r="H489" s="18">
        <f t="shared" si="10"/>
        <v>108.18181818181819</v>
      </c>
      <c r="I489" s="18">
        <v>54.55</v>
      </c>
      <c r="J489" s="18" t="s">
        <v>23</v>
      </c>
      <c r="K489" s="18">
        <v>234</v>
      </c>
      <c r="N489" s="18">
        <v>97.74</v>
      </c>
      <c r="O489" s="26" t="s">
        <v>177</v>
      </c>
      <c r="P489" s="18" t="s">
        <v>27</v>
      </c>
      <c r="Q489" s="18" t="s">
        <v>58</v>
      </c>
      <c r="R489" s="19" t="s">
        <v>171</v>
      </c>
    </row>
    <row r="490" spans="1:18" x14ac:dyDescent="0.3">
      <c r="A490" s="18">
        <v>119</v>
      </c>
      <c r="B490" s="18">
        <v>1100</v>
      </c>
      <c r="C490" s="18">
        <v>40</v>
      </c>
      <c r="D490" s="18">
        <v>50</v>
      </c>
      <c r="E490" s="18">
        <v>50</v>
      </c>
      <c r="F490" s="18" t="s">
        <v>169</v>
      </c>
      <c r="G490" s="18">
        <v>90</v>
      </c>
      <c r="H490" s="18">
        <f t="shared" si="10"/>
        <v>108.18181818181819</v>
      </c>
      <c r="I490" s="18">
        <v>54.55</v>
      </c>
      <c r="J490" s="18" t="s">
        <v>23</v>
      </c>
      <c r="K490" s="18">
        <v>216</v>
      </c>
      <c r="N490" s="18">
        <v>95.23</v>
      </c>
      <c r="O490" s="26" t="s">
        <v>174</v>
      </c>
      <c r="P490" s="18" t="s">
        <v>27</v>
      </c>
      <c r="Q490" s="18" t="s">
        <v>58</v>
      </c>
      <c r="R490" s="19" t="s">
        <v>171</v>
      </c>
    </row>
    <row r="491" spans="1:18" x14ac:dyDescent="0.3">
      <c r="A491" s="18">
        <v>119</v>
      </c>
      <c r="B491" s="18">
        <v>1400</v>
      </c>
      <c r="C491" s="18">
        <v>30</v>
      </c>
      <c r="D491" s="18">
        <v>50</v>
      </c>
      <c r="E491" s="18">
        <v>50</v>
      </c>
      <c r="F491" s="18" t="s">
        <v>169</v>
      </c>
      <c r="G491" s="18">
        <v>90</v>
      </c>
      <c r="H491" s="18">
        <f t="shared" si="10"/>
        <v>85</v>
      </c>
      <c r="I491" s="18">
        <v>57.14</v>
      </c>
      <c r="J491" s="18" t="s">
        <v>23</v>
      </c>
      <c r="K491" s="18">
        <v>232</v>
      </c>
      <c r="N491" s="18">
        <v>96.49</v>
      </c>
      <c r="O491" s="26" t="s">
        <v>178</v>
      </c>
      <c r="P491" s="18" t="s">
        <v>27</v>
      </c>
      <c r="Q491" s="18" t="s">
        <v>58</v>
      </c>
      <c r="R491" s="19" t="s">
        <v>171</v>
      </c>
    </row>
    <row r="492" spans="1:18" x14ac:dyDescent="0.3">
      <c r="A492" s="18">
        <v>119</v>
      </c>
      <c r="B492" s="18">
        <v>1400</v>
      </c>
      <c r="C492" s="18">
        <v>30</v>
      </c>
      <c r="D492" s="18">
        <v>50</v>
      </c>
      <c r="E492" s="18">
        <v>50</v>
      </c>
      <c r="F492" s="18" t="s">
        <v>169</v>
      </c>
      <c r="G492" s="18">
        <v>90</v>
      </c>
      <c r="H492" s="18">
        <f t="shared" si="10"/>
        <v>85</v>
      </c>
      <c r="I492" s="18">
        <v>57.14</v>
      </c>
      <c r="J492" s="18" t="s">
        <v>23</v>
      </c>
      <c r="K492" s="18">
        <v>218</v>
      </c>
      <c r="N492" s="18">
        <v>96.49</v>
      </c>
      <c r="O492" s="26" t="s">
        <v>174</v>
      </c>
      <c r="P492" s="18" t="s">
        <v>27</v>
      </c>
      <c r="Q492" s="18" t="s">
        <v>58</v>
      </c>
      <c r="R492" s="19" t="s">
        <v>171</v>
      </c>
    </row>
    <row r="493" spans="1:18" x14ac:dyDescent="0.3">
      <c r="A493" s="18">
        <v>119</v>
      </c>
      <c r="B493" s="18">
        <v>1400</v>
      </c>
      <c r="C493" s="18">
        <v>40</v>
      </c>
      <c r="D493" s="18">
        <v>50</v>
      </c>
      <c r="E493" s="18">
        <v>50</v>
      </c>
      <c r="F493" s="18" t="s">
        <v>169</v>
      </c>
      <c r="G493" s="18">
        <v>90</v>
      </c>
      <c r="H493" s="18">
        <f t="shared" si="10"/>
        <v>85</v>
      </c>
      <c r="I493" s="18">
        <v>42.86</v>
      </c>
      <c r="J493" s="18" t="s">
        <v>23</v>
      </c>
      <c r="K493" s="18">
        <v>220</v>
      </c>
      <c r="N493" s="18">
        <v>97.74</v>
      </c>
      <c r="O493" s="26" t="s">
        <v>173</v>
      </c>
      <c r="P493" s="18" t="s">
        <v>27</v>
      </c>
      <c r="Q493" s="18" t="s">
        <v>58</v>
      </c>
      <c r="R493" s="19" t="s">
        <v>171</v>
      </c>
    </row>
    <row r="494" spans="1:18" x14ac:dyDescent="0.3">
      <c r="A494" s="18">
        <v>119</v>
      </c>
      <c r="B494" s="18">
        <v>1400</v>
      </c>
      <c r="C494" s="18">
        <v>40</v>
      </c>
      <c r="D494" s="18">
        <v>50</v>
      </c>
      <c r="E494" s="18">
        <v>50</v>
      </c>
      <c r="F494" s="18" t="s">
        <v>169</v>
      </c>
      <c r="G494" s="18">
        <v>90</v>
      </c>
      <c r="H494" s="18">
        <f t="shared" si="10"/>
        <v>85</v>
      </c>
      <c r="I494" s="18">
        <v>42.86</v>
      </c>
      <c r="J494" s="18" t="s">
        <v>23</v>
      </c>
      <c r="K494" s="18">
        <v>197</v>
      </c>
      <c r="N494" s="18">
        <v>93.98</v>
      </c>
      <c r="O494" s="26" t="s">
        <v>173</v>
      </c>
      <c r="P494" s="18" t="s">
        <v>27</v>
      </c>
      <c r="Q494" s="18" t="s">
        <v>58</v>
      </c>
      <c r="R494" s="19" t="s">
        <v>171</v>
      </c>
    </row>
    <row r="495" spans="1:18" x14ac:dyDescent="0.3">
      <c r="A495" s="18">
        <v>119</v>
      </c>
      <c r="B495" s="18">
        <v>1700</v>
      </c>
      <c r="C495" s="18">
        <v>30</v>
      </c>
      <c r="D495" s="18">
        <v>50</v>
      </c>
      <c r="E495" s="18">
        <v>50</v>
      </c>
      <c r="F495" s="18" t="s">
        <v>169</v>
      </c>
      <c r="G495" s="18">
        <v>90</v>
      </c>
      <c r="H495" s="18">
        <f t="shared" si="10"/>
        <v>70</v>
      </c>
      <c r="I495" s="18">
        <v>47.06</v>
      </c>
      <c r="J495" s="18" t="s">
        <v>23</v>
      </c>
      <c r="K495" s="18">
        <v>231</v>
      </c>
      <c r="N495" s="18">
        <v>97.74</v>
      </c>
      <c r="O495" s="26" t="s">
        <v>174</v>
      </c>
      <c r="P495" s="18" t="s">
        <v>27</v>
      </c>
      <c r="Q495" s="18" t="s">
        <v>58</v>
      </c>
      <c r="R495" s="19" t="s">
        <v>171</v>
      </c>
    </row>
    <row r="496" spans="1:18" x14ac:dyDescent="0.3">
      <c r="A496" s="18">
        <v>119</v>
      </c>
      <c r="B496" s="18">
        <v>1700</v>
      </c>
      <c r="C496" s="18">
        <v>30</v>
      </c>
      <c r="D496" s="18">
        <v>50</v>
      </c>
      <c r="E496" s="18">
        <v>50</v>
      </c>
      <c r="F496" s="18" t="s">
        <v>169</v>
      </c>
      <c r="G496" s="18">
        <v>90</v>
      </c>
      <c r="H496" s="18">
        <f t="shared" si="10"/>
        <v>70</v>
      </c>
      <c r="I496" s="18">
        <v>47.06</v>
      </c>
      <c r="J496" s="18" t="s">
        <v>23</v>
      </c>
      <c r="K496" s="18">
        <v>199</v>
      </c>
      <c r="N496" s="18">
        <v>93.98</v>
      </c>
      <c r="O496" s="26" t="s">
        <v>72</v>
      </c>
      <c r="P496" s="18" t="s">
        <v>27</v>
      </c>
      <c r="Q496" s="18" t="s">
        <v>58</v>
      </c>
      <c r="R496" s="19" t="s">
        <v>171</v>
      </c>
    </row>
    <row r="497" spans="1:18" x14ac:dyDescent="0.3">
      <c r="A497" s="18">
        <v>119</v>
      </c>
      <c r="B497" s="18">
        <v>1700</v>
      </c>
      <c r="C497" s="18">
        <v>40</v>
      </c>
      <c r="D497" s="18">
        <v>50</v>
      </c>
      <c r="E497" s="18">
        <v>50</v>
      </c>
      <c r="F497" s="18" t="s">
        <v>169</v>
      </c>
      <c r="G497" s="18">
        <v>90</v>
      </c>
      <c r="H497" s="18">
        <f t="shared" si="10"/>
        <v>70</v>
      </c>
      <c r="I497" s="18">
        <v>35.29</v>
      </c>
      <c r="J497" s="18" t="s">
        <v>23</v>
      </c>
      <c r="K497" s="18">
        <v>214</v>
      </c>
      <c r="N497" s="18">
        <v>92.73</v>
      </c>
      <c r="O497" s="26" t="s">
        <v>72</v>
      </c>
      <c r="P497" s="18" t="s">
        <v>27</v>
      </c>
      <c r="Q497" s="18" t="s">
        <v>58</v>
      </c>
      <c r="R497" s="19" t="s">
        <v>171</v>
      </c>
    </row>
    <row r="498" spans="1:18" x14ac:dyDescent="0.3">
      <c r="A498" s="18">
        <v>119</v>
      </c>
      <c r="B498" s="18">
        <v>2000</v>
      </c>
      <c r="C498" s="18">
        <v>30</v>
      </c>
      <c r="D498" s="18">
        <v>50</v>
      </c>
      <c r="E498" s="18">
        <v>50</v>
      </c>
      <c r="F498" s="18" t="s">
        <v>169</v>
      </c>
      <c r="G498" s="18">
        <v>90</v>
      </c>
      <c r="H498" s="18">
        <f t="shared" si="10"/>
        <v>59.5</v>
      </c>
      <c r="I498" s="18">
        <v>40</v>
      </c>
      <c r="J498" s="18" t="s">
        <v>23</v>
      </c>
      <c r="K498" s="18">
        <v>222</v>
      </c>
      <c r="N498" s="18">
        <v>95.23</v>
      </c>
      <c r="O498" s="26" t="s">
        <v>72</v>
      </c>
      <c r="P498" s="18" t="s">
        <v>27</v>
      </c>
      <c r="Q498" s="18" t="s">
        <v>58</v>
      </c>
      <c r="R498" s="19" t="s">
        <v>171</v>
      </c>
    </row>
    <row r="499" spans="1:18" x14ac:dyDescent="0.3">
      <c r="A499" s="18">
        <v>160</v>
      </c>
      <c r="B499" s="18">
        <v>1000</v>
      </c>
      <c r="C499" s="18">
        <v>30</v>
      </c>
      <c r="D499" s="18">
        <v>50</v>
      </c>
      <c r="E499" s="18">
        <v>50</v>
      </c>
      <c r="F499" s="18" t="s">
        <v>169</v>
      </c>
      <c r="G499" s="18">
        <v>90</v>
      </c>
      <c r="H499" s="18">
        <f t="shared" si="10"/>
        <v>160</v>
      </c>
      <c r="I499" s="18">
        <v>106.67</v>
      </c>
      <c r="J499" s="18" t="s">
        <v>23</v>
      </c>
      <c r="K499" s="18">
        <v>239</v>
      </c>
      <c r="N499" s="18">
        <v>97.74</v>
      </c>
      <c r="O499" s="26" t="s">
        <v>179</v>
      </c>
      <c r="P499" s="18" t="s">
        <v>27</v>
      </c>
      <c r="Q499" s="18" t="s">
        <v>58</v>
      </c>
      <c r="R499" s="19" t="s">
        <v>171</v>
      </c>
    </row>
    <row r="500" spans="1:18" x14ac:dyDescent="0.3">
      <c r="A500" s="18">
        <v>160</v>
      </c>
      <c r="B500" s="18">
        <v>2000</v>
      </c>
      <c r="C500" s="18">
        <v>30</v>
      </c>
      <c r="D500" s="18">
        <v>50</v>
      </c>
      <c r="E500" s="18">
        <v>50</v>
      </c>
      <c r="F500" s="18" t="s">
        <v>169</v>
      </c>
      <c r="G500" s="18">
        <v>90</v>
      </c>
      <c r="H500" s="18">
        <f t="shared" si="10"/>
        <v>80</v>
      </c>
      <c r="I500" s="18">
        <v>53.33</v>
      </c>
      <c r="J500" s="18" t="s">
        <v>23</v>
      </c>
      <c r="K500" s="18">
        <v>228</v>
      </c>
      <c r="N500" s="18">
        <v>97.74</v>
      </c>
      <c r="O500" s="26" t="s">
        <v>174</v>
      </c>
      <c r="P500" s="18" t="s">
        <v>27</v>
      </c>
      <c r="Q500" s="18" t="s">
        <v>58</v>
      </c>
      <c r="R500" s="19" t="s">
        <v>171</v>
      </c>
    </row>
    <row r="501" spans="1:18" x14ac:dyDescent="0.3">
      <c r="A501" s="18">
        <v>180</v>
      </c>
      <c r="B501" s="18">
        <v>1400</v>
      </c>
      <c r="C501" s="18">
        <v>30</v>
      </c>
      <c r="D501" s="18">
        <v>50</v>
      </c>
      <c r="E501" s="18">
        <v>50</v>
      </c>
      <c r="F501" s="18" t="s">
        <v>169</v>
      </c>
      <c r="G501" s="18">
        <v>90</v>
      </c>
      <c r="H501" s="18">
        <f t="shared" si="10"/>
        <v>128.57142857142856</v>
      </c>
      <c r="I501" s="18">
        <v>85.71</v>
      </c>
      <c r="J501" s="18" t="s">
        <v>23</v>
      </c>
      <c r="K501" s="18">
        <v>228</v>
      </c>
      <c r="N501" s="18">
        <v>98.99</v>
      </c>
      <c r="O501" s="26" t="s">
        <v>180</v>
      </c>
      <c r="P501" s="18" t="s">
        <v>27</v>
      </c>
      <c r="Q501" s="18" t="s">
        <v>58</v>
      </c>
      <c r="R501" s="19" t="s">
        <v>171</v>
      </c>
    </row>
    <row r="502" spans="1:18" x14ac:dyDescent="0.3">
      <c r="A502" s="18">
        <v>180</v>
      </c>
      <c r="B502" s="18">
        <v>1400</v>
      </c>
      <c r="C502" s="18">
        <v>30</v>
      </c>
      <c r="D502" s="18">
        <v>50</v>
      </c>
      <c r="E502" s="18">
        <v>50</v>
      </c>
      <c r="F502" s="18" t="s">
        <v>169</v>
      </c>
      <c r="G502" s="18">
        <v>90</v>
      </c>
      <c r="H502" s="18">
        <f t="shared" si="10"/>
        <v>128.57142857142856</v>
      </c>
      <c r="I502" s="18">
        <v>85.71</v>
      </c>
      <c r="J502" s="18" t="s">
        <v>23</v>
      </c>
      <c r="K502" s="18">
        <v>225</v>
      </c>
      <c r="N502" s="18">
        <v>97.74</v>
      </c>
      <c r="O502" s="26" t="s">
        <v>175</v>
      </c>
      <c r="P502" s="18" t="s">
        <v>27</v>
      </c>
      <c r="Q502" s="18" t="s">
        <v>58</v>
      </c>
      <c r="R502" s="19" t="s">
        <v>171</v>
      </c>
    </row>
    <row r="503" spans="1:18" x14ac:dyDescent="0.3">
      <c r="A503" s="18">
        <v>180</v>
      </c>
      <c r="B503" s="18">
        <v>1400</v>
      </c>
      <c r="C503" s="18">
        <v>40</v>
      </c>
      <c r="D503" s="18">
        <v>50</v>
      </c>
      <c r="E503" s="18">
        <v>50</v>
      </c>
      <c r="F503" s="18" t="s">
        <v>169</v>
      </c>
      <c r="G503" s="18">
        <v>90</v>
      </c>
      <c r="H503" s="18">
        <f t="shared" si="10"/>
        <v>128.57142857142856</v>
      </c>
      <c r="I503" s="18">
        <v>64.290000000000006</v>
      </c>
      <c r="J503" s="18" t="s">
        <v>23</v>
      </c>
      <c r="K503" s="18">
        <v>224</v>
      </c>
      <c r="N503" s="18">
        <v>97.74</v>
      </c>
      <c r="O503" s="26" t="s">
        <v>176</v>
      </c>
      <c r="P503" s="18" t="s">
        <v>27</v>
      </c>
      <c r="Q503" s="18" t="s">
        <v>58</v>
      </c>
      <c r="R503" s="19" t="s">
        <v>171</v>
      </c>
    </row>
    <row r="504" spans="1:18" x14ac:dyDescent="0.3">
      <c r="A504" s="18">
        <v>201</v>
      </c>
      <c r="B504" s="18">
        <v>1400</v>
      </c>
      <c r="C504" s="18">
        <v>30</v>
      </c>
      <c r="D504" s="18">
        <v>50</v>
      </c>
      <c r="E504" s="18">
        <v>50</v>
      </c>
      <c r="F504" s="18" t="s">
        <v>169</v>
      </c>
      <c r="G504" s="18">
        <v>90</v>
      </c>
      <c r="H504" s="18">
        <f t="shared" si="10"/>
        <v>143.57142857142858</v>
      </c>
      <c r="I504" s="18">
        <v>95.24</v>
      </c>
      <c r="J504" s="18" t="s">
        <v>23</v>
      </c>
      <c r="K504" s="18">
        <v>229</v>
      </c>
      <c r="N504" s="18">
        <v>97.74</v>
      </c>
      <c r="O504" s="26" t="s">
        <v>181</v>
      </c>
      <c r="P504" s="18" t="s">
        <v>27</v>
      </c>
      <c r="Q504" s="18" t="s">
        <v>58</v>
      </c>
      <c r="R504" s="19" t="s">
        <v>171</v>
      </c>
    </row>
    <row r="505" spans="1:18" x14ac:dyDescent="0.3">
      <c r="A505" s="18">
        <v>239</v>
      </c>
      <c r="B505" s="18">
        <v>2800</v>
      </c>
      <c r="C505" s="18">
        <v>30</v>
      </c>
      <c r="D505" s="18">
        <v>50</v>
      </c>
      <c r="E505" s="18">
        <v>50</v>
      </c>
      <c r="F505" s="18" t="s">
        <v>169</v>
      </c>
      <c r="G505" s="18">
        <v>90</v>
      </c>
      <c r="H505" s="18">
        <f t="shared" si="10"/>
        <v>85.357142857142847</v>
      </c>
      <c r="I505" s="18">
        <v>57.14</v>
      </c>
      <c r="J505" s="18" t="s">
        <v>23</v>
      </c>
      <c r="K505" s="18">
        <v>215</v>
      </c>
      <c r="N505" s="18">
        <v>97.74</v>
      </c>
      <c r="O505" s="26" t="s">
        <v>174</v>
      </c>
      <c r="P505" s="18" t="s">
        <v>27</v>
      </c>
      <c r="Q505" s="18" t="s">
        <v>58</v>
      </c>
      <c r="R505" s="19" t="s">
        <v>171</v>
      </c>
    </row>
    <row r="506" spans="1:18" x14ac:dyDescent="0.3">
      <c r="A506" s="18">
        <v>175</v>
      </c>
      <c r="B506" s="18">
        <v>600</v>
      </c>
      <c r="C506" s="18">
        <v>30</v>
      </c>
      <c r="D506" s="18">
        <v>120</v>
      </c>
      <c r="E506" s="18">
        <v>33</v>
      </c>
      <c r="F506" s="18" t="s">
        <v>182</v>
      </c>
      <c r="G506" s="18">
        <v>67</v>
      </c>
      <c r="H506" s="18">
        <f t="shared" si="10"/>
        <v>291.66666666666669</v>
      </c>
      <c r="I506" s="18">
        <v>81</v>
      </c>
      <c r="J506" s="18" t="s">
        <v>183</v>
      </c>
      <c r="L506" s="18">
        <v>566.34</v>
      </c>
      <c r="M506" s="18">
        <v>665.49</v>
      </c>
      <c r="N506" s="18">
        <v>99.68</v>
      </c>
      <c r="O506" s="26" t="s">
        <v>184</v>
      </c>
      <c r="P506" s="18" t="s">
        <v>39</v>
      </c>
      <c r="R506" s="20" t="s">
        <v>185</v>
      </c>
    </row>
    <row r="507" spans="1:18" x14ac:dyDescent="0.3">
      <c r="A507" s="18">
        <v>225</v>
      </c>
      <c r="B507" s="18">
        <v>600</v>
      </c>
      <c r="C507" s="18">
        <v>30</v>
      </c>
      <c r="D507" s="18">
        <v>80</v>
      </c>
      <c r="E507" s="18">
        <v>33</v>
      </c>
      <c r="F507" s="18" t="s">
        <v>182</v>
      </c>
      <c r="G507" s="18">
        <v>67</v>
      </c>
      <c r="H507" s="18">
        <f t="shared" si="10"/>
        <v>375</v>
      </c>
      <c r="I507" s="18">
        <v>156.30000000000001</v>
      </c>
      <c r="J507" s="18" t="s">
        <v>183</v>
      </c>
      <c r="L507" s="18">
        <v>525.13</v>
      </c>
      <c r="M507" s="18">
        <v>623.30999999999995</v>
      </c>
      <c r="N507" s="18">
        <v>99.99</v>
      </c>
      <c r="O507" s="26" t="s">
        <v>186</v>
      </c>
      <c r="P507" s="18" t="s">
        <v>27</v>
      </c>
      <c r="R507" s="20" t="s">
        <v>185</v>
      </c>
    </row>
    <row r="508" spans="1:18" x14ac:dyDescent="0.3">
      <c r="A508" s="18">
        <v>150</v>
      </c>
      <c r="B508" s="18">
        <v>400</v>
      </c>
      <c r="C508" s="18">
        <v>40</v>
      </c>
      <c r="D508" s="18">
        <v>80</v>
      </c>
      <c r="E508" s="18">
        <v>70</v>
      </c>
      <c r="H508" s="18">
        <f t="shared" si="10"/>
        <v>375</v>
      </c>
      <c r="I508" s="18">
        <v>117.18</v>
      </c>
      <c r="J508" s="18" t="s">
        <v>23</v>
      </c>
      <c r="N508" s="18">
        <v>99</v>
      </c>
      <c r="O508" s="26" t="s">
        <v>187</v>
      </c>
      <c r="P508" s="18" t="s">
        <v>31</v>
      </c>
      <c r="Q508" s="18" t="s">
        <v>58</v>
      </c>
      <c r="R508" s="19" t="s">
        <v>188</v>
      </c>
    </row>
    <row r="509" spans="1:18" x14ac:dyDescent="0.3">
      <c r="A509" s="18">
        <v>150</v>
      </c>
      <c r="B509" s="18">
        <v>500</v>
      </c>
      <c r="C509" s="18">
        <v>40</v>
      </c>
      <c r="D509" s="18">
        <v>80</v>
      </c>
      <c r="E509" s="18">
        <v>70</v>
      </c>
      <c r="H509" s="18">
        <f t="shared" si="10"/>
        <v>300</v>
      </c>
      <c r="I509" s="18">
        <v>93.75</v>
      </c>
      <c r="J509" s="18" t="s">
        <v>23</v>
      </c>
      <c r="N509" s="18">
        <v>99.3</v>
      </c>
      <c r="O509" s="26" t="s">
        <v>187</v>
      </c>
      <c r="P509" s="18" t="s">
        <v>31</v>
      </c>
      <c r="Q509" s="18" t="s">
        <v>58</v>
      </c>
      <c r="R509" s="19" t="s">
        <v>188</v>
      </c>
    </row>
    <row r="510" spans="1:18" x14ac:dyDescent="0.3">
      <c r="A510" s="18">
        <v>150</v>
      </c>
      <c r="B510" s="18">
        <v>600</v>
      </c>
      <c r="C510" s="18">
        <v>40</v>
      </c>
      <c r="D510" s="18">
        <v>80</v>
      </c>
      <c r="E510" s="18">
        <v>70</v>
      </c>
      <c r="H510" s="18">
        <f t="shared" si="10"/>
        <v>250</v>
      </c>
      <c r="I510" s="18">
        <v>78.125</v>
      </c>
      <c r="J510" s="18" t="s">
        <v>23</v>
      </c>
      <c r="N510" s="18">
        <v>98.2</v>
      </c>
      <c r="O510" s="26" t="s">
        <v>187</v>
      </c>
      <c r="P510" s="18" t="s">
        <v>31</v>
      </c>
      <c r="Q510" s="18" t="s">
        <v>58</v>
      </c>
      <c r="R510" s="19" t="s">
        <v>188</v>
      </c>
    </row>
    <row r="511" spans="1:18" x14ac:dyDescent="0.3">
      <c r="A511" s="18">
        <v>150</v>
      </c>
      <c r="B511" s="18">
        <v>700</v>
      </c>
      <c r="C511" s="18">
        <v>40</v>
      </c>
      <c r="D511" s="18">
        <v>80</v>
      </c>
      <c r="E511" s="18">
        <v>70</v>
      </c>
      <c r="H511" s="18">
        <f t="shared" si="10"/>
        <v>214.28571428571428</v>
      </c>
      <c r="I511" s="18">
        <v>66.959999999999994</v>
      </c>
      <c r="J511" s="18" t="s">
        <v>23</v>
      </c>
      <c r="N511" s="18">
        <v>95.9</v>
      </c>
      <c r="O511" s="26" t="s">
        <v>187</v>
      </c>
      <c r="P511" s="18" t="s">
        <v>31</v>
      </c>
      <c r="Q511" s="18" t="s">
        <v>58</v>
      </c>
      <c r="R511" s="19" t="s">
        <v>188</v>
      </c>
    </row>
    <row r="512" spans="1:18" x14ac:dyDescent="0.3">
      <c r="A512" s="18">
        <v>150</v>
      </c>
      <c r="B512" s="18">
        <v>800</v>
      </c>
      <c r="C512" s="18">
        <v>40</v>
      </c>
      <c r="D512" s="18">
        <v>80</v>
      </c>
      <c r="E512" s="18">
        <v>70</v>
      </c>
      <c r="H512" s="18">
        <f t="shared" si="10"/>
        <v>187.5</v>
      </c>
      <c r="I512" s="18">
        <v>58.59</v>
      </c>
      <c r="J512" s="18" t="s">
        <v>23</v>
      </c>
      <c r="N512" s="18">
        <v>91.7</v>
      </c>
      <c r="O512" s="26" t="s">
        <v>187</v>
      </c>
      <c r="P512" s="18" t="s">
        <v>31</v>
      </c>
      <c r="Q512" s="18" t="s">
        <v>58</v>
      </c>
      <c r="R512" s="19" t="s">
        <v>188</v>
      </c>
    </row>
    <row r="513" spans="1:18" x14ac:dyDescent="0.3">
      <c r="A513" s="18">
        <v>150</v>
      </c>
      <c r="B513" s="18">
        <v>125</v>
      </c>
      <c r="C513" s="18">
        <v>50</v>
      </c>
      <c r="D513" s="18">
        <v>90</v>
      </c>
      <c r="E513" s="18">
        <v>35</v>
      </c>
      <c r="H513" s="18">
        <f t="shared" si="10"/>
        <v>1200</v>
      </c>
      <c r="I513" s="18">
        <v>266.67</v>
      </c>
      <c r="N513" s="18">
        <v>97</v>
      </c>
      <c r="R513" s="19" t="s">
        <v>189</v>
      </c>
    </row>
    <row r="514" spans="1:18" x14ac:dyDescent="0.3">
      <c r="A514" s="18">
        <v>150</v>
      </c>
      <c r="B514" s="18">
        <v>150</v>
      </c>
      <c r="C514" s="18">
        <v>50</v>
      </c>
      <c r="D514" s="18">
        <v>90</v>
      </c>
      <c r="E514" s="18">
        <v>35</v>
      </c>
      <c r="H514" s="18">
        <f t="shared" si="10"/>
        <v>1000</v>
      </c>
      <c r="I514" s="18">
        <v>222.22</v>
      </c>
      <c r="N514" s="18">
        <v>98.3</v>
      </c>
      <c r="R514" s="19" t="s">
        <v>189</v>
      </c>
    </row>
    <row r="515" spans="1:18" x14ac:dyDescent="0.3">
      <c r="A515" s="18">
        <v>150</v>
      </c>
      <c r="B515" s="18">
        <v>175</v>
      </c>
      <c r="C515" s="18">
        <v>50</v>
      </c>
      <c r="D515" s="18">
        <v>90</v>
      </c>
      <c r="E515" s="18">
        <v>35</v>
      </c>
      <c r="H515" s="18">
        <f t="shared" si="10"/>
        <v>857.14285714285711</v>
      </c>
      <c r="I515" s="18">
        <v>190.47</v>
      </c>
      <c r="N515" s="18">
        <v>97</v>
      </c>
      <c r="R515" s="19" t="s">
        <v>189</v>
      </c>
    </row>
    <row r="516" spans="1:18" x14ac:dyDescent="0.3">
      <c r="A516" s="18">
        <v>150</v>
      </c>
      <c r="B516" s="18">
        <v>200</v>
      </c>
      <c r="C516" s="18">
        <v>50</v>
      </c>
      <c r="D516" s="18">
        <v>90</v>
      </c>
      <c r="E516" s="18">
        <v>35</v>
      </c>
      <c r="H516" s="18">
        <f t="shared" si="10"/>
        <v>750</v>
      </c>
      <c r="I516" s="18">
        <v>166.67</v>
      </c>
      <c r="N516" s="18">
        <v>93.3</v>
      </c>
      <c r="R516" s="19" t="s">
        <v>189</v>
      </c>
    </row>
    <row r="517" spans="1:18" x14ac:dyDescent="0.3">
      <c r="A517" s="18">
        <v>175</v>
      </c>
      <c r="B517" s="18">
        <v>800</v>
      </c>
      <c r="C517" s="18">
        <v>50</v>
      </c>
      <c r="D517" s="18">
        <v>110</v>
      </c>
      <c r="E517" s="18">
        <v>70</v>
      </c>
      <c r="F517" s="18" t="s">
        <v>18</v>
      </c>
      <c r="G517" s="18">
        <v>67</v>
      </c>
      <c r="H517" s="18">
        <f t="shared" si="10"/>
        <v>218.75</v>
      </c>
      <c r="I517" s="18">
        <v>39.770000000000003</v>
      </c>
      <c r="J517" s="18" t="s">
        <v>23</v>
      </c>
      <c r="K517" s="18">
        <v>209</v>
      </c>
      <c r="N517" s="18">
        <v>96.35</v>
      </c>
      <c r="O517" s="26" t="s">
        <v>190</v>
      </c>
      <c r="P517" s="18" t="s">
        <v>27</v>
      </c>
      <c r="Q517" s="18" t="s">
        <v>58</v>
      </c>
      <c r="R517" s="19" t="s">
        <v>191</v>
      </c>
    </row>
    <row r="518" spans="1:18" x14ac:dyDescent="0.3">
      <c r="A518" s="18">
        <v>200</v>
      </c>
      <c r="B518" s="18">
        <v>577</v>
      </c>
      <c r="C518" s="18">
        <v>50</v>
      </c>
      <c r="D518" s="18">
        <v>110</v>
      </c>
      <c r="E518" s="18">
        <v>70</v>
      </c>
      <c r="F518" s="18" t="s">
        <v>18</v>
      </c>
      <c r="G518" s="18">
        <v>67</v>
      </c>
      <c r="H518" s="18">
        <f t="shared" si="10"/>
        <v>346.62045060658579</v>
      </c>
      <c r="I518" s="18">
        <v>63.02</v>
      </c>
      <c r="J518" s="18" t="s">
        <v>23</v>
      </c>
      <c r="K518" s="18">
        <v>256</v>
      </c>
      <c r="N518" s="18">
        <v>97.23</v>
      </c>
      <c r="O518" s="26" t="s">
        <v>192</v>
      </c>
      <c r="P518" s="18" t="s">
        <v>27</v>
      </c>
      <c r="Q518" s="18" t="s">
        <v>58</v>
      </c>
      <c r="R518" s="19" t="s">
        <v>191</v>
      </c>
    </row>
    <row r="519" spans="1:18" x14ac:dyDescent="0.3">
      <c r="A519" s="18">
        <v>200</v>
      </c>
      <c r="B519" s="18">
        <v>750</v>
      </c>
      <c r="C519" s="18">
        <v>50</v>
      </c>
      <c r="D519" s="18">
        <v>110</v>
      </c>
      <c r="E519" s="18">
        <v>70</v>
      </c>
      <c r="F519" s="18" t="s">
        <v>18</v>
      </c>
      <c r="G519" s="18">
        <v>67</v>
      </c>
      <c r="H519" s="18">
        <f t="shared" si="10"/>
        <v>266.66666666666669</v>
      </c>
      <c r="I519" s="18">
        <v>48.48</v>
      </c>
      <c r="J519" s="18" t="s">
        <v>23</v>
      </c>
      <c r="K519" s="18">
        <v>271</v>
      </c>
      <c r="N519" s="18">
        <v>98.21</v>
      </c>
      <c r="O519" s="26" t="s">
        <v>190</v>
      </c>
      <c r="P519" s="18" t="s">
        <v>27</v>
      </c>
      <c r="Q519" s="18" t="s">
        <v>58</v>
      </c>
      <c r="R519" s="19" t="s">
        <v>191</v>
      </c>
    </row>
    <row r="520" spans="1:18" x14ac:dyDescent="0.3">
      <c r="A520" s="18">
        <v>150</v>
      </c>
      <c r="B520" s="18">
        <v>800</v>
      </c>
      <c r="C520" s="18">
        <v>50</v>
      </c>
      <c r="D520" s="18">
        <v>110</v>
      </c>
      <c r="E520" s="18">
        <v>70</v>
      </c>
      <c r="F520" s="18" t="s">
        <v>18</v>
      </c>
      <c r="G520" s="18">
        <v>67</v>
      </c>
      <c r="H520" s="18">
        <f t="shared" si="10"/>
        <v>187.5</v>
      </c>
      <c r="I520" s="18">
        <v>34.090000000000003</v>
      </c>
      <c r="J520" s="18" t="s">
        <v>23</v>
      </c>
      <c r="K520" s="18">
        <v>294</v>
      </c>
      <c r="N520" s="18">
        <v>90.78</v>
      </c>
      <c r="O520" s="26" t="s">
        <v>190</v>
      </c>
      <c r="P520" s="18" t="s">
        <v>27</v>
      </c>
      <c r="Q520" s="18" t="s">
        <v>58</v>
      </c>
      <c r="R520" s="19" t="s">
        <v>191</v>
      </c>
    </row>
    <row r="521" spans="1:18" x14ac:dyDescent="0.3">
      <c r="A521" s="18">
        <v>200</v>
      </c>
      <c r="B521" s="18">
        <v>698</v>
      </c>
      <c r="C521" s="18">
        <v>50</v>
      </c>
      <c r="D521" s="18">
        <v>110</v>
      </c>
      <c r="E521" s="18">
        <v>70</v>
      </c>
      <c r="F521" s="18" t="s">
        <v>18</v>
      </c>
      <c r="G521" s="18">
        <v>67</v>
      </c>
      <c r="H521" s="18">
        <f t="shared" si="10"/>
        <v>286.53295128939828</v>
      </c>
      <c r="I521" s="18">
        <v>52.1</v>
      </c>
      <c r="J521" s="18" t="s">
        <v>23</v>
      </c>
      <c r="K521" s="18">
        <v>318</v>
      </c>
      <c r="N521" s="18">
        <v>97.5</v>
      </c>
      <c r="O521" s="26" t="s">
        <v>192</v>
      </c>
      <c r="P521" s="18" t="s">
        <v>27</v>
      </c>
      <c r="Q521" s="18" t="s">
        <v>58</v>
      </c>
      <c r="R521" s="19" t="s">
        <v>191</v>
      </c>
    </row>
    <row r="522" spans="1:18" x14ac:dyDescent="0.3">
      <c r="A522" s="18">
        <v>70</v>
      </c>
      <c r="B522" s="18">
        <v>1200</v>
      </c>
      <c r="C522" s="18">
        <v>20</v>
      </c>
      <c r="D522" s="18">
        <v>60</v>
      </c>
      <c r="F522" s="18" t="s">
        <v>24</v>
      </c>
      <c r="H522" s="18">
        <f t="shared" si="10"/>
        <v>58.333333333333336</v>
      </c>
      <c r="I522" s="18">
        <v>48</v>
      </c>
      <c r="J522" s="18" t="s">
        <v>23</v>
      </c>
      <c r="N522" s="18">
        <v>93.73</v>
      </c>
      <c r="R522" s="19" t="s">
        <v>193</v>
      </c>
    </row>
    <row r="523" spans="1:18" x14ac:dyDescent="0.3">
      <c r="A523" s="18">
        <v>130</v>
      </c>
      <c r="B523" s="18">
        <v>700</v>
      </c>
      <c r="C523" s="18">
        <v>20</v>
      </c>
      <c r="D523" s="18">
        <v>60</v>
      </c>
      <c r="F523" s="18" t="s">
        <v>24</v>
      </c>
      <c r="H523" s="18">
        <f t="shared" si="10"/>
        <v>185.71428571428572</v>
      </c>
      <c r="I523" s="18">
        <v>155</v>
      </c>
      <c r="J523" s="18" t="s">
        <v>23</v>
      </c>
      <c r="N523" s="18">
        <v>99.81</v>
      </c>
      <c r="R523" s="19" t="s">
        <v>193</v>
      </c>
    </row>
    <row r="524" spans="1:18" x14ac:dyDescent="0.3">
      <c r="A524" s="18">
        <v>70</v>
      </c>
      <c r="B524" s="18">
        <v>1200</v>
      </c>
      <c r="C524" s="18">
        <v>20</v>
      </c>
      <c r="D524" s="18">
        <v>60</v>
      </c>
      <c r="F524" s="18" t="s">
        <v>24</v>
      </c>
      <c r="H524" s="18">
        <f t="shared" si="10"/>
        <v>58.333333333333336</v>
      </c>
      <c r="I524" s="18">
        <v>48</v>
      </c>
      <c r="J524" s="18" t="s">
        <v>23</v>
      </c>
      <c r="N524" s="18">
        <v>94.07</v>
      </c>
      <c r="R524" s="19" t="s">
        <v>193</v>
      </c>
    </row>
    <row r="525" spans="1:18" x14ac:dyDescent="0.3">
      <c r="A525" s="18">
        <v>130</v>
      </c>
      <c r="B525" s="18">
        <v>700</v>
      </c>
      <c r="C525" s="18">
        <v>20</v>
      </c>
      <c r="D525" s="18">
        <v>60</v>
      </c>
      <c r="F525" s="18" t="s">
        <v>24</v>
      </c>
      <c r="H525" s="18">
        <f t="shared" si="10"/>
        <v>185.71428571428572</v>
      </c>
      <c r="I525" s="18">
        <v>155</v>
      </c>
      <c r="J525" s="18" t="s">
        <v>23</v>
      </c>
      <c r="N525" s="18">
        <v>99.75</v>
      </c>
      <c r="R525" s="19" t="s">
        <v>193</v>
      </c>
    </row>
    <row r="526" spans="1:18" x14ac:dyDescent="0.3">
      <c r="A526" s="18">
        <v>150</v>
      </c>
      <c r="B526" s="18">
        <v>500</v>
      </c>
      <c r="C526" s="18">
        <v>80</v>
      </c>
      <c r="D526" s="18">
        <v>30</v>
      </c>
      <c r="E526" s="18">
        <v>120</v>
      </c>
      <c r="F526" s="18" t="s">
        <v>194</v>
      </c>
      <c r="H526" s="18">
        <f t="shared" si="10"/>
        <v>300</v>
      </c>
      <c r="I526" s="18">
        <v>125</v>
      </c>
      <c r="J526" s="18" t="s">
        <v>23</v>
      </c>
      <c r="N526" s="18">
        <v>99.62</v>
      </c>
      <c r="P526" s="18" t="s">
        <v>89</v>
      </c>
      <c r="Q526" s="18" t="s">
        <v>32</v>
      </c>
      <c r="R526" s="19" t="s">
        <v>195</v>
      </c>
    </row>
    <row r="527" spans="1:18" x14ac:dyDescent="0.3">
      <c r="A527" s="18">
        <v>150</v>
      </c>
      <c r="B527" s="18">
        <v>700</v>
      </c>
      <c r="C527" s="18">
        <v>80</v>
      </c>
      <c r="D527" s="18">
        <v>30</v>
      </c>
      <c r="E527" s="18">
        <v>120</v>
      </c>
      <c r="F527" s="18" t="s">
        <v>194</v>
      </c>
      <c r="H527" s="18">
        <f t="shared" si="10"/>
        <v>214.28571428571428</v>
      </c>
      <c r="I527" s="18">
        <v>89.29</v>
      </c>
      <c r="J527" s="18" t="s">
        <v>23</v>
      </c>
      <c r="N527" s="18">
        <v>99.59</v>
      </c>
      <c r="P527" s="18" t="s">
        <v>89</v>
      </c>
      <c r="Q527" s="18" t="s">
        <v>32</v>
      </c>
      <c r="R527" s="19" t="s">
        <v>195</v>
      </c>
    </row>
    <row r="528" spans="1:18" x14ac:dyDescent="0.3">
      <c r="A528" s="18">
        <v>150</v>
      </c>
      <c r="B528" s="18">
        <v>900</v>
      </c>
      <c r="C528" s="18">
        <v>80</v>
      </c>
      <c r="D528" s="18">
        <v>30</v>
      </c>
      <c r="E528" s="18">
        <v>120</v>
      </c>
      <c r="F528" s="18" t="s">
        <v>194</v>
      </c>
      <c r="H528" s="18">
        <f t="shared" si="10"/>
        <v>166.66666666666666</v>
      </c>
      <c r="I528" s="18">
        <v>69.44</v>
      </c>
      <c r="J528" s="18" t="s">
        <v>23</v>
      </c>
      <c r="N528" s="18">
        <v>99.21</v>
      </c>
      <c r="P528" s="18" t="s">
        <v>89</v>
      </c>
      <c r="Q528" s="18" t="s">
        <v>32</v>
      </c>
      <c r="R528" s="19" t="s">
        <v>195</v>
      </c>
    </row>
    <row r="529" spans="1:18" x14ac:dyDescent="0.3">
      <c r="A529" s="18">
        <v>150</v>
      </c>
      <c r="B529" s="18">
        <v>1100</v>
      </c>
      <c r="C529" s="18">
        <v>80</v>
      </c>
      <c r="D529" s="18">
        <v>30</v>
      </c>
      <c r="E529" s="18">
        <v>120</v>
      </c>
      <c r="F529" s="18" t="s">
        <v>194</v>
      </c>
      <c r="H529" s="18">
        <f t="shared" si="10"/>
        <v>136.36363636363635</v>
      </c>
      <c r="I529" s="18">
        <v>66.290000000000006</v>
      </c>
      <c r="J529" s="18" t="s">
        <v>23</v>
      </c>
      <c r="N529" s="18">
        <v>99.28</v>
      </c>
      <c r="P529" s="18" t="s">
        <v>89</v>
      </c>
      <c r="Q529" s="18" t="s">
        <v>32</v>
      </c>
      <c r="R529" s="19" t="s">
        <v>195</v>
      </c>
    </row>
    <row r="530" spans="1:18" x14ac:dyDescent="0.3">
      <c r="A530" s="18">
        <v>175</v>
      </c>
      <c r="B530" s="18">
        <v>500</v>
      </c>
      <c r="C530" s="18">
        <v>80</v>
      </c>
      <c r="D530" s="18">
        <v>30</v>
      </c>
      <c r="E530" s="18">
        <v>120</v>
      </c>
      <c r="F530" s="18" t="s">
        <v>194</v>
      </c>
      <c r="H530" s="18">
        <f t="shared" si="10"/>
        <v>350</v>
      </c>
      <c r="I530" s="18">
        <v>145.63</v>
      </c>
      <c r="J530" s="18" t="s">
        <v>23</v>
      </c>
      <c r="N530" s="18">
        <v>99.73</v>
      </c>
      <c r="P530" s="18" t="s">
        <v>89</v>
      </c>
      <c r="Q530" s="18" t="s">
        <v>32</v>
      </c>
      <c r="R530" s="19" t="s">
        <v>195</v>
      </c>
    </row>
    <row r="531" spans="1:18" x14ac:dyDescent="0.3">
      <c r="A531" s="18">
        <v>175</v>
      </c>
      <c r="B531" s="18">
        <v>700</v>
      </c>
      <c r="C531" s="18">
        <v>80</v>
      </c>
      <c r="D531" s="18">
        <v>30</v>
      </c>
      <c r="E531" s="18">
        <v>120</v>
      </c>
      <c r="F531" s="18" t="s">
        <v>194</v>
      </c>
      <c r="H531" s="18">
        <f t="shared" si="10"/>
        <v>250</v>
      </c>
      <c r="I531" s="18">
        <v>104.17</v>
      </c>
      <c r="J531" s="18" t="s">
        <v>23</v>
      </c>
      <c r="N531" s="18">
        <v>99.93</v>
      </c>
      <c r="P531" s="18" t="s">
        <v>89</v>
      </c>
      <c r="Q531" s="18" t="s">
        <v>32</v>
      </c>
      <c r="R531" s="19" t="s">
        <v>195</v>
      </c>
    </row>
    <row r="532" spans="1:18" x14ac:dyDescent="0.3">
      <c r="A532" s="18">
        <v>175</v>
      </c>
      <c r="B532" s="18">
        <v>900</v>
      </c>
      <c r="C532" s="18">
        <v>80</v>
      </c>
      <c r="D532" s="18">
        <v>30</v>
      </c>
      <c r="E532" s="18">
        <v>120</v>
      </c>
      <c r="F532" s="18" t="s">
        <v>194</v>
      </c>
      <c r="H532" s="18">
        <f t="shared" si="10"/>
        <v>194.44444444444446</v>
      </c>
      <c r="I532" s="18">
        <v>81.02</v>
      </c>
      <c r="J532" s="18" t="s">
        <v>23</v>
      </c>
      <c r="N532" s="18">
        <v>99.88</v>
      </c>
      <c r="P532" s="18" t="s">
        <v>89</v>
      </c>
      <c r="Q532" s="18" t="s">
        <v>32</v>
      </c>
      <c r="R532" s="19" t="s">
        <v>195</v>
      </c>
    </row>
    <row r="533" spans="1:18" x14ac:dyDescent="0.3">
      <c r="A533" s="18">
        <v>175</v>
      </c>
      <c r="B533" s="18">
        <v>1100</v>
      </c>
      <c r="C533" s="18">
        <v>80</v>
      </c>
      <c r="D533" s="18">
        <v>30</v>
      </c>
      <c r="E533" s="18">
        <v>120</v>
      </c>
      <c r="F533" s="18" t="s">
        <v>194</v>
      </c>
      <c r="H533" s="18">
        <f t="shared" si="10"/>
        <v>159.09090909090909</v>
      </c>
      <c r="I533" s="18">
        <v>66.290000000000006</v>
      </c>
      <c r="J533" s="18" t="s">
        <v>23</v>
      </c>
      <c r="N533" s="18">
        <v>98.76</v>
      </c>
      <c r="P533" s="18" t="s">
        <v>89</v>
      </c>
      <c r="Q533" s="18" t="s">
        <v>32</v>
      </c>
      <c r="R533" s="19" t="s">
        <v>195</v>
      </c>
    </row>
    <row r="534" spans="1:18" x14ac:dyDescent="0.3">
      <c r="A534" s="18">
        <v>200</v>
      </c>
      <c r="B534" s="18">
        <v>500</v>
      </c>
      <c r="C534" s="18">
        <v>80</v>
      </c>
      <c r="D534" s="18">
        <v>30</v>
      </c>
      <c r="E534" s="18">
        <v>120</v>
      </c>
      <c r="F534" s="18" t="s">
        <v>194</v>
      </c>
      <c r="H534" s="18">
        <f t="shared" si="10"/>
        <v>400</v>
      </c>
      <c r="I534" s="18">
        <v>166.67</v>
      </c>
      <c r="J534" s="18" t="s">
        <v>23</v>
      </c>
      <c r="N534" s="18">
        <v>96.64</v>
      </c>
      <c r="P534" s="18" t="s">
        <v>89</v>
      </c>
      <c r="Q534" s="18" t="s">
        <v>32</v>
      </c>
      <c r="R534" s="19" t="s">
        <v>195</v>
      </c>
    </row>
    <row r="535" spans="1:18" x14ac:dyDescent="0.3">
      <c r="A535" s="18">
        <v>200</v>
      </c>
      <c r="B535" s="18">
        <v>700</v>
      </c>
      <c r="C535" s="18">
        <v>80</v>
      </c>
      <c r="D535" s="18">
        <v>30</v>
      </c>
      <c r="E535" s="18">
        <v>120</v>
      </c>
      <c r="F535" s="18" t="s">
        <v>194</v>
      </c>
      <c r="H535" s="18">
        <f t="shared" si="10"/>
        <v>285.71428571428572</v>
      </c>
      <c r="I535" s="18">
        <v>119.05</v>
      </c>
      <c r="J535" s="18" t="s">
        <v>23</v>
      </c>
      <c r="N535" s="18">
        <v>99.66</v>
      </c>
      <c r="P535" s="18" t="s">
        <v>89</v>
      </c>
      <c r="Q535" s="18" t="s">
        <v>32</v>
      </c>
      <c r="R535" s="19" t="s">
        <v>195</v>
      </c>
    </row>
    <row r="536" spans="1:18" x14ac:dyDescent="0.3">
      <c r="A536" s="18">
        <v>200</v>
      </c>
      <c r="B536" s="18">
        <v>900</v>
      </c>
      <c r="C536" s="18">
        <v>80</v>
      </c>
      <c r="D536" s="18">
        <v>30</v>
      </c>
      <c r="E536" s="18">
        <v>120</v>
      </c>
      <c r="F536" s="18" t="s">
        <v>194</v>
      </c>
      <c r="H536" s="18">
        <f t="shared" si="10"/>
        <v>222.2222222222222</v>
      </c>
      <c r="I536" s="18">
        <v>92.59</v>
      </c>
      <c r="J536" s="18" t="s">
        <v>23</v>
      </c>
      <c r="N536" s="18">
        <v>99.71</v>
      </c>
      <c r="P536" s="18" t="s">
        <v>89</v>
      </c>
      <c r="Q536" s="18" t="s">
        <v>32</v>
      </c>
      <c r="R536" s="19" t="s">
        <v>195</v>
      </c>
    </row>
    <row r="537" spans="1:18" x14ac:dyDescent="0.3">
      <c r="A537" s="18">
        <v>200</v>
      </c>
      <c r="B537" s="18">
        <v>1100</v>
      </c>
      <c r="C537" s="18">
        <v>80</v>
      </c>
      <c r="D537" s="18">
        <v>30</v>
      </c>
      <c r="E537" s="18">
        <v>120</v>
      </c>
      <c r="F537" s="18" t="s">
        <v>194</v>
      </c>
      <c r="H537" s="18">
        <f t="shared" si="10"/>
        <v>181.81818181818181</v>
      </c>
      <c r="I537" s="18">
        <v>75.760000000000005</v>
      </c>
      <c r="J537" s="18" t="s">
        <v>23</v>
      </c>
      <c r="N537" s="18">
        <v>99.36</v>
      </c>
      <c r="P537" s="18" t="s">
        <v>89</v>
      </c>
      <c r="Q537" s="18" t="s">
        <v>32</v>
      </c>
      <c r="R537" s="19" t="s">
        <v>195</v>
      </c>
    </row>
    <row r="538" spans="1:18" x14ac:dyDescent="0.3">
      <c r="A538" s="18">
        <v>200</v>
      </c>
      <c r="B538" s="18">
        <v>1300</v>
      </c>
      <c r="C538" s="18">
        <v>80</v>
      </c>
      <c r="D538" s="18">
        <v>30</v>
      </c>
      <c r="E538" s="18">
        <v>120</v>
      </c>
      <c r="F538" s="18" t="s">
        <v>194</v>
      </c>
      <c r="H538" s="18">
        <f t="shared" si="10"/>
        <v>153.84615384615387</v>
      </c>
      <c r="I538" s="18">
        <v>64.099999999999994</v>
      </c>
      <c r="J538" s="18" t="s">
        <v>23</v>
      </c>
      <c r="N538" s="18">
        <v>98.54</v>
      </c>
      <c r="P538" s="18" t="s">
        <v>89</v>
      </c>
      <c r="Q538" s="18" t="s">
        <v>32</v>
      </c>
      <c r="R538" s="19" t="s">
        <v>195</v>
      </c>
    </row>
    <row r="539" spans="1:18" x14ac:dyDescent="0.3">
      <c r="A539" s="18">
        <v>200</v>
      </c>
      <c r="B539" s="18">
        <v>1500</v>
      </c>
      <c r="C539" s="18">
        <v>80</v>
      </c>
      <c r="D539" s="18">
        <v>30</v>
      </c>
      <c r="E539" s="18">
        <v>120</v>
      </c>
      <c r="F539" s="18" t="s">
        <v>194</v>
      </c>
      <c r="H539" s="18">
        <f t="shared" si="10"/>
        <v>133.33333333333334</v>
      </c>
      <c r="I539" s="18">
        <v>55.56</v>
      </c>
      <c r="J539" s="18" t="s">
        <v>23</v>
      </c>
      <c r="N539" s="18">
        <v>97.7</v>
      </c>
      <c r="P539" s="18" t="s">
        <v>89</v>
      </c>
      <c r="Q539" s="18" t="s">
        <v>32</v>
      </c>
      <c r="R539" s="19" t="s">
        <v>195</v>
      </c>
    </row>
    <row r="540" spans="1:18" x14ac:dyDescent="0.3">
      <c r="A540" s="18">
        <v>200</v>
      </c>
      <c r="B540" s="18">
        <v>1100</v>
      </c>
      <c r="C540" s="18">
        <v>40</v>
      </c>
      <c r="D540" s="18">
        <v>30</v>
      </c>
      <c r="E540" s="18">
        <v>120</v>
      </c>
      <c r="F540" s="18" t="s">
        <v>194</v>
      </c>
      <c r="H540" s="18">
        <f t="shared" si="10"/>
        <v>181.81818181818181</v>
      </c>
      <c r="I540" s="18">
        <v>151.52000000000001</v>
      </c>
      <c r="J540" s="18" t="s">
        <v>23</v>
      </c>
      <c r="N540" s="18">
        <v>99.62</v>
      </c>
      <c r="P540" s="18" t="s">
        <v>89</v>
      </c>
      <c r="Q540" s="18" t="s">
        <v>32</v>
      </c>
      <c r="R540" s="19" t="s">
        <v>195</v>
      </c>
    </row>
    <row r="541" spans="1:18" x14ac:dyDescent="0.3">
      <c r="A541" s="18">
        <v>200</v>
      </c>
      <c r="B541" s="18">
        <v>1100</v>
      </c>
      <c r="C541" s="18">
        <v>80</v>
      </c>
      <c r="D541" s="18">
        <v>30</v>
      </c>
      <c r="E541" s="18">
        <v>120</v>
      </c>
      <c r="F541" s="18" t="s">
        <v>194</v>
      </c>
      <c r="H541" s="18">
        <f t="shared" si="10"/>
        <v>181.81818181818181</v>
      </c>
      <c r="I541" s="18">
        <v>75.760000000000005</v>
      </c>
      <c r="J541" s="18" t="s">
        <v>23</v>
      </c>
      <c r="N541" s="18">
        <v>99.36</v>
      </c>
      <c r="P541" s="18" t="s">
        <v>89</v>
      </c>
      <c r="Q541" s="18" t="s">
        <v>32</v>
      </c>
      <c r="R541" s="19" t="s">
        <v>195</v>
      </c>
    </row>
    <row r="542" spans="1:18" x14ac:dyDescent="0.3">
      <c r="A542" s="18">
        <v>200</v>
      </c>
      <c r="B542" s="18">
        <v>1100</v>
      </c>
      <c r="C542" s="18">
        <v>120</v>
      </c>
      <c r="D542" s="18">
        <v>30</v>
      </c>
      <c r="E542" s="18">
        <v>120</v>
      </c>
      <c r="F542" s="18" t="s">
        <v>194</v>
      </c>
      <c r="H542" s="18">
        <f t="shared" si="10"/>
        <v>181.81818181818181</v>
      </c>
      <c r="I542" s="18">
        <v>50.51</v>
      </c>
      <c r="J542" s="18" t="s">
        <v>23</v>
      </c>
      <c r="N542" s="18">
        <v>97.63</v>
      </c>
      <c r="P542" s="18" t="s">
        <v>89</v>
      </c>
      <c r="Q542" s="18" t="s">
        <v>32</v>
      </c>
      <c r="R542" s="19" t="s">
        <v>195</v>
      </c>
    </row>
    <row r="543" spans="1:18" x14ac:dyDescent="0.3">
      <c r="A543" s="18">
        <v>200</v>
      </c>
      <c r="B543" s="18">
        <v>1100</v>
      </c>
      <c r="C543" s="18">
        <v>80</v>
      </c>
      <c r="D543" s="18">
        <v>30</v>
      </c>
      <c r="E543" s="18">
        <v>120</v>
      </c>
      <c r="F543" s="18" t="s">
        <v>194</v>
      </c>
      <c r="H543" s="18">
        <f t="shared" si="10"/>
        <v>181.81818181818181</v>
      </c>
      <c r="I543" s="18">
        <v>75.760000000000005</v>
      </c>
      <c r="J543" s="18" t="s">
        <v>23</v>
      </c>
      <c r="N543" s="18">
        <v>99.36</v>
      </c>
      <c r="P543" s="18" t="s">
        <v>89</v>
      </c>
      <c r="Q543" s="18" t="s">
        <v>32</v>
      </c>
      <c r="R543" s="19" t="s">
        <v>195</v>
      </c>
    </row>
    <row r="544" spans="1:18" x14ac:dyDescent="0.3">
      <c r="A544" s="18">
        <v>200</v>
      </c>
      <c r="B544" s="18">
        <v>1100</v>
      </c>
      <c r="C544" s="18">
        <v>80</v>
      </c>
      <c r="D544" s="18">
        <v>40</v>
      </c>
      <c r="E544" s="18">
        <v>120</v>
      </c>
      <c r="F544" s="18" t="s">
        <v>194</v>
      </c>
      <c r="H544" s="18">
        <f t="shared" si="10"/>
        <v>181.81818181818181</v>
      </c>
      <c r="I544" s="18">
        <v>56.82</v>
      </c>
      <c r="J544" s="18" t="s">
        <v>23</v>
      </c>
      <c r="N544" s="18">
        <v>97.93</v>
      </c>
      <c r="P544" s="18" t="s">
        <v>89</v>
      </c>
      <c r="Q544" s="18" t="s">
        <v>32</v>
      </c>
      <c r="R544" s="19" t="s">
        <v>195</v>
      </c>
    </row>
    <row r="545" spans="1:18" x14ac:dyDescent="0.3">
      <c r="A545" s="18">
        <v>200</v>
      </c>
      <c r="B545" s="18">
        <v>1100</v>
      </c>
      <c r="C545" s="18">
        <v>80</v>
      </c>
      <c r="D545" s="18">
        <v>50</v>
      </c>
      <c r="E545" s="18">
        <v>120</v>
      </c>
      <c r="F545" s="18" t="s">
        <v>194</v>
      </c>
      <c r="H545" s="18">
        <f t="shared" si="10"/>
        <v>181.81818181818181</v>
      </c>
      <c r="I545" s="18">
        <v>45.45</v>
      </c>
      <c r="J545" s="18" t="s">
        <v>23</v>
      </c>
      <c r="N545" s="18">
        <v>97.62</v>
      </c>
      <c r="P545" s="18" t="s">
        <v>89</v>
      </c>
      <c r="Q545" s="18" t="s">
        <v>32</v>
      </c>
      <c r="R545" s="19" t="s">
        <v>195</v>
      </c>
    </row>
    <row r="546" spans="1:18" x14ac:dyDescent="0.3">
      <c r="A546" s="18">
        <v>200</v>
      </c>
      <c r="B546" s="18">
        <v>1100</v>
      </c>
      <c r="C546" s="18">
        <v>80</v>
      </c>
      <c r="D546" s="18">
        <v>60</v>
      </c>
      <c r="E546" s="18">
        <v>120</v>
      </c>
      <c r="F546" s="18" t="s">
        <v>194</v>
      </c>
      <c r="H546" s="18">
        <f t="shared" si="10"/>
        <v>181.81818181818181</v>
      </c>
      <c r="I546" s="18">
        <v>37.880000000000003</v>
      </c>
      <c r="J546" s="18" t="s">
        <v>23</v>
      </c>
      <c r="N546" s="18">
        <v>93.8</v>
      </c>
      <c r="P546" s="18" t="s">
        <v>89</v>
      </c>
      <c r="Q546" s="18" t="s">
        <v>32</v>
      </c>
      <c r="R546" s="19" t="s">
        <v>195</v>
      </c>
    </row>
    <row r="547" spans="1:18" x14ac:dyDescent="0.3">
      <c r="A547" s="18">
        <v>100</v>
      </c>
      <c r="B547" s="18">
        <v>1100</v>
      </c>
      <c r="C547" s="18">
        <v>80</v>
      </c>
      <c r="D547" s="18">
        <v>30</v>
      </c>
      <c r="E547" s="18">
        <v>120</v>
      </c>
      <c r="F547" s="18" t="s">
        <v>194</v>
      </c>
      <c r="H547" s="18">
        <f t="shared" si="10"/>
        <v>90.909090909090907</v>
      </c>
      <c r="I547" s="18">
        <v>37.880000000000003</v>
      </c>
      <c r="J547" s="18" t="s">
        <v>23</v>
      </c>
      <c r="N547" s="18">
        <v>92.7</v>
      </c>
      <c r="P547" s="18" t="s">
        <v>89</v>
      </c>
      <c r="Q547" s="18" t="s">
        <v>32</v>
      </c>
      <c r="R547" s="19" t="s">
        <v>195</v>
      </c>
    </row>
    <row r="548" spans="1:18" x14ac:dyDescent="0.3">
      <c r="A548" s="18">
        <v>125</v>
      </c>
      <c r="B548" s="18">
        <v>1100</v>
      </c>
      <c r="C548" s="18">
        <v>80</v>
      </c>
      <c r="D548" s="18">
        <v>30</v>
      </c>
      <c r="E548" s="18">
        <v>120</v>
      </c>
      <c r="F548" s="18" t="s">
        <v>194</v>
      </c>
      <c r="H548" s="18">
        <f t="shared" si="10"/>
        <v>113.63636363636363</v>
      </c>
      <c r="I548" s="18">
        <v>47.35</v>
      </c>
      <c r="J548" s="18" t="s">
        <v>23</v>
      </c>
      <c r="N548" s="18">
        <v>97.4</v>
      </c>
      <c r="P548" s="18" t="s">
        <v>89</v>
      </c>
      <c r="Q548" s="18" t="s">
        <v>32</v>
      </c>
      <c r="R548" s="19" t="s">
        <v>195</v>
      </c>
    </row>
    <row r="549" spans="1:18" x14ac:dyDescent="0.3">
      <c r="A549" s="18">
        <v>150</v>
      </c>
      <c r="B549" s="18">
        <v>500</v>
      </c>
      <c r="C549" s="18">
        <v>40</v>
      </c>
      <c r="D549" s="18">
        <v>30</v>
      </c>
      <c r="E549" s="18">
        <v>120</v>
      </c>
      <c r="F549" s="18" t="s">
        <v>194</v>
      </c>
      <c r="H549" s="18">
        <f t="shared" si="10"/>
        <v>300</v>
      </c>
      <c r="I549" s="18">
        <v>250</v>
      </c>
      <c r="J549" s="18" t="s">
        <v>23</v>
      </c>
      <c r="N549" s="18">
        <v>90.48</v>
      </c>
      <c r="P549" s="18" t="s">
        <v>89</v>
      </c>
      <c r="Q549" s="18" t="s">
        <v>32</v>
      </c>
      <c r="R549" s="19" t="s">
        <v>195</v>
      </c>
    </row>
    <row r="550" spans="1:18" x14ac:dyDescent="0.3">
      <c r="A550" s="18">
        <v>175</v>
      </c>
      <c r="B550" s="18">
        <v>700</v>
      </c>
      <c r="C550" s="18">
        <v>40</v>
      </c>
      <c r="D550" s="18">
        <v>30</v>
      </c>
      <c r="E550" s="18">
        <v>120</v>
      </c>
      <c r="F550" s="18" t="s">
        <v>194</v>
      </c>
      <c r="H550" s="18">
        <f t="shared" si="10"/>
        <v>250</v>
      </c>
      <c r="I550" s="18">
        <v>208.33</v>
      </c>
      <c r="J550" s="18" t="s">
        <v>23</v>
      </c>
      <c r="N550" s="18">
        <v>91.03</v>
      </c>
      <c r="P550" s="18" t="s">
        <v>89</v>
      </c>
      <c r="Q550" s="18" t="s">
        <v>32</v>
      </c>
      <c r="R550" s="19" t="s">
        <v>195</v>
      </c>
    </row>
    <row r="551" spans="1:18" x14ac:dyDescent="0.3">
      <c r="A551" s="18">
        <v>180</v>
      </c>
      <c r="C551" s="18">
        <v>40</v>
      </c>
      <c r="D551" s="18">
        <v>85</v>
      </c>
      <c r="F551" s="18" t="s">
        <v>64</v>
      </c>
      <c r="L551" s="18">
        <v>551.21</v>
      </c>
      <c r="M551" s="18">
        <v>619.58000000000004</v>
      </c>
      <c r="O551" s="26" t="s">
        <v>196</v>
      </c>
      <c r="P551" s="18" t="s">
        <v>27</v>
      </c>
      <c r="Q551" s="18" t="s">
        <v>58</v>
      </c>
      <c r="R551" s="20" t="s">
        <v>197</v>
      </c>
    </row>
    <row r="552" spans="1:18" x14ac:dyDescent="0.3">
      <c r="A552" s="18">
        <v>150</v>
      </c>
      <c r="B552" s="18">
        <v>710</v>
      </c>
      <c r="C552" s="18">
        <v>30</v>
      </c>
      <c r="D552" s="18">
        <v>129</v>
      </c>
      <c r="H552" s="18">
        <f>((A552/B552)*1000)</f>
        <v>211.26760563380282</v>
      </c>
      <c r="I552" s="18">
        <v>54.5</v>
      </c>
      <c r="J552" s="18" t="s">
        <v>23</v>
      </c>
      <c r="K552" s="18">
        <v>257.10000000000002</v>
      </c>
      <c r="N552" s="18">
        <v>98.7</v>
      </c>
      <c r="R552" s="20" t="s">
        <v>198</v>
      </c>
    </row>
    <row r="553" spans="1:18" x14ac:dyDescent="0.3">
      <c r="A553" s="18">
        <v>150</v>
      </c>
      <c r="B553" s="18">
        <v>890</v>
      </c>
      <c r="C553" s="18">
        <v>30</v>
      </c>
      <c r="D553" s="18">
        <v>111</v>
      </c>
      <c r="H553" s="18">
        <f t="shared" ref="H553:H608" si="11">((A553/B553)*1000)</f>
        <v>168.53932584269663</v>
      </c>
      <c r="I553" s="18">
        <v>50.6</v>
      </c>
      <c r="J553" s="18" t="s">
        <v>23</v>
      </c>
      <c r="K553" s="18">
        <v>256.5</v>
      </c>
      <c r="N553" s="18">
        <v>99.2</v>
      </c>
      <c r="R553" s="20" t="s">
        <v>198</v>
      </c>
    </row>
    <row r="554" spans="1:18" x14ac:dyDescent="0.3">
      <c r="A554" s="18">
        <v>185</v>
      </c>
      <c r="B554" s="18">
        <v>710</v>
      </c>
      <c r="C554" s="18">
        <v>30</v>
      </c>
      <c r="D554" s="18">
        <v>129</v>
      </c>
      <c r="H554" s="18">
        <f t="shared" si="11"/>
        <v>260.56338028169012</v>
      </c>
      <c r="I554" s="18">
        <v>67.3</v>
      </c>
      <c r="J554" s="18" t="s">
        <v>23</v>
      </c>
      <c r="K554" s="18">
        <v>258.89999999999998</v>
      </c>
      <c r="N554" s="18">
        <v>98.9</v>
      </c>
      <c r="R554" s="20" t="s">
        <v>198</v>
      </c>
    </row>
    <row r="555" spans="1:18" x14ac:dyDescent="0.3">
      <c r="A555" s="18">
        <v>185</v>
      </c>
      <c r="B555" s="18">
        <v>830</v>
      </c>
      <c r="C555" s="18">
        <v>30</v>
      </c>
      <c r="D555" s="18">
        <v>117</v>
      </c>
      <c r="H555" s="18">
        <f t="shared" si="11"/>
        <v>222.89156626506025</v>
      </c>
      <c r="I555" s="18">
        <v>63.5</v>
      </c>
      <c r="J555" s="18" t="s">
        <v>23</v>
      </c>
      <c r="K555" s="18">
        <v>266.2</v>
      </c>
      <c r="N555" s="18">
        <v>98.9</v>
      </c>
      <c r="R555" s="20" t="s">
        <v>198</v>
      </c>
    </row>
    <row r="556" spans="1:18" x14ac:dyDescent="0.3">
      <c r="A556" s="18">
        <v>185</v>
      </c>
      <c r="B556" s="18">
        <v>890</v>
      </c>
      <c r="C556" s="18">
        <v>30</v>
      </c>
      <c r="D556" s="18">
        <v>111</v>
      </c>
      <c r="H556" s="18">
        <f t="shared" si="11"/>
        <v>207.86516853932585</v>
      </c>
      <c r="I556" s="18">
        <v>62.4</v>
      </c>
      <c r="J556" s="18" t="s">
        <v>23</v>
      </c>
      <c r="K556" s="18">
        <v>248.4</v>
      </c>
      <c r="N556" s="18">
        <v>98.3</v>
      </c>
      <c r="R556" s="20" t="s">
        <v>198</v>
      </c>
    </row>
    <row r="557" spans="1:18" x14ac:dyDescent="0.3">
      <c r="A557" s="18">
        <v>220</v>
      </c>
      <c r="B557" s="18">
        <v>830</v>
      </c>
      <c r="C557" s="18">
        <v>30</v>
      </c>
      <c r="D557" s="18">
        <v>111</v>
      </c>
      <c r="H557" s="18">
        <f t="shared" si="11"/>
        <v>265.06024096385545</v>
      </c>
      <c r="I557" s="18">
        <v>79.599999999999994</v>
      </c>
      <c r="J557" s="18" t="s">
        <v>23</v>
      </c>
      <c r="K557" s="18">
        <v>258.2</v>
      </c>
      <c r="N557" s="18">
        <v>98.6</v>
      </c>
      <c r="R557" s="20" t="s">
        <v>198</v>
      </c>
    </row>
    <row r="558" spans="1:18" x14ac:dyDescent="0.3">
      <c r="A558" s="18">
        <v>220</v>
      </c>
      <c r="B558" s="18">
        <v>890</v>
      </c>
      <c r="C558" s="18">
        <v>30</v>
      </c>
      <c r="D558" s="18">
        <v>117</v>
      </c>
      <c r="H558" s="18">
        <f t="shared" si="11"/>
        <v>247.19101123595505</v>
      </c>
      <c r="I558" s="18">
        <v>70.400000000000006</v>
      </c>
      <c r="J558" s="18" t="s">
        <v>23</v>
      </c>
      <c r="K558" s="18">
        <v>260.5</v>
      </c>
      <c r="N558" s="18">
        <v>97.9</v>
      </c>
      <c r="R558" s="20" t="s">
        <v>198</v>
      </c>
    </row>
    <row r="559" spans="1:18" x14ac:dyDescent="0.3">
      <c r="A559" s="18">
        <v>255</v>
      </c>
      <c r="B559" s="18">
        <v>710</v>
      </c>
      <c r="C559" s="18">
        <v>30</v>
      </c>
      <c r="D559" s="18">
        <v>123</v>
      </c>
      <c r="H559" s="18">
        <f t="shared" si="11"/>
        <v>359.15492957746483</v>
      </c>
      <c r="I559" s="18">
        <v>97.3</v>
      </c>
      <c r="J559" s="18" t="s">
        <v>23</v>
      </c>
      <c r="K559" s="18">
        <v>234.3</v>
      </c>
      <c r="N559" s="18">
        <v>97.6</v>
      </c>
      <c r="R559" s="20" t="s">
        <v>198</v>
      </c>
    </row>
    <row r="560" spans="1:18" x14ac:dyDescent="0.3">
      <c r="A560" s="18">
        <v>255</v>
      </c>
      <c r="B560" s="18">
        <v>770</v>
      </c>
      <c r="C560" s="18">
        <v>30</v>
      </c>
      <c r="D560" s="18">
        <v>129</v>
      </c>
      <c r="H560" s="18">
        <f t="shared" si="11"/>
        <v>331.16883116883116</v>
      </c>
      <c r="I560" s="18">
        <v>85.5</v>
      </c>
      <c r="J560" s="18" t="s">
        <v>23</v>
      </c>
      <c r="K560" s="18">
        <v>258.10000000000002</v>
      </c>
      <c r="N560" s="18">
        <v>97.9</v>
      </c>
      <c r="R560" s="20" t="s">
        <v>198</v>
      </c>
    </row>
    <row r="561" spans="1:18" x14ac:dyDescent="0.3">
      <c r="A561" s="18">
        <v>200</v>
      </c>
      <c r="B561" s="18">
        <v>800</v>
      </c>
      <c r="C561" s="18">
        <v>30</v>
      </c>
      <c r="D561" s="18">
        <v>120</v>
      </c>
      <c r="H561" s="18">
        <f t="shared" si="11"/>
        <v>250</v>
      </c>
      <c r="I561" s="18">
        <v>69.400000000000006</v>
      </c>
      <c r="J561" s="18" t="s">
        <v>23</v>
      </c>
      <c r="K561" s="18">
        <v>248.8</v>
      </c>
      <c r="N561" s="18">
        <v>99.1</v>
      </c>
      <c r="R561" s="20" t="s">
        <v>198</v>
      </c>
    </row>
    <row r="562" spans="1:18" x14ac:dyDescent="0.3">
      <c r="A562" s="18">
        <v>290</v>
      </c>
      <c r="B562" s="18">
        <v>880</v>
      </c>
      <c r="C562" s="18">
        <v>30</v>
      </c>
      <c r="D562" s="18">
        <v>117</v>
      </c>
      <c r="H562" s="18">
        <f t="shared" si="11"/>
        <v>329.5454545454545</v>
      </c>
      <c r="I562" s="18">
        <v>93.9</v>
      </c>
      <c r="J562" s="18" t="s">
        <v>23</v>
      </c>
      <c r="K562" s="18">
        <v>256.89999999999998</v>
      </c>
      <c r="N562" s="18">
        <v>97.1</v>
      </c>
      <c r="R562" s="20" t="s">
        <v>198</v>
      </c>
    </row>
    <row r="563" spans="1:18" x14ac:dyDescent="0.3">
      <c r="A563" s="18">
        <v>200</v>
      </c>
      <c r="B563" s="18">
        <v>725</v>
      </c>
      <c r="C563" s="18">
        <v>30</v>
      </c>
      <c r="D563" s="18">
        <v>117</v>
      </c>
      <c r="H563" s="18">
        <f t="shared" si="11"/>
        <v>275.86206896551721</v>
      </c>
      <c r="I563" s="18">
        <v>78.599999999999994</v>
      </c>
      <c r="J563" s="18" t="s">
        <v>23</v>
      </c>
      <c r="K563" s="18">
        <v>236.9</v>
      </c>
      <c r="N563" s="18">
        <v>98.1</v>
      </c>
      <c r="R563" s="20" t="s">
        <v>198</v>
      </c>
    </row>
    <row r="564" spans="1:18" x14ac:dyDescent="0.3">
      <c r="A564" s="18">
        <v>200</v>
      </c>
      <c r="B564" s="18">
        <v>800</v>
      </c>
      <c r="C564" s="18">
        <v>30</v>
      </c>
      <c r="D564" s="18">
        <v>111</v>
      </c>
      <c r="H564" s="18">
        <f t="shared" si="11"/>
        <v>250</v>
      </c>
      <c r="I564" s="18">
        <v>75.099999999999994</v>
      </c>
      <c r="J564" s="18" t="s">
        <v>23</v>
      </c>
      <c r="K564" s="18">
        <v>239.3</v>
      </c>
      <c r="N564" s="18">
        <v>97.7</v>
      </c>
      <c r="R564" s="20" t="s">
        <v>198</v>
      </c>
    </row>
    <row r="565" spans="1:18" x14ac:dyDescent="0.3">
      <c r="A565" s="18">
        <v>200</v>
      </c>
      <c r="B565" s="18">
        <v>650</v>
      </c>
      <c r="C565" s="18">
        <v>30</v>
      </c>
      <c r="D565" s="18">
        <v>125</v>
      </c>
      <c r="H565" s="18">
        <f t="shared" si="11"/>
        <v>307.69230769230774</v>
      </c>
      <c r="I565" s="18">
        <v>82.1</v>
      </c>
      <c r="J565" s="18" t="s">
        <v>23</v>
      </c>
      <c r="K565" s="18">
        <v>240.7</v>
      </c>
      <c r="N565" s="18">
        <v>97.2</v>
      </c>
      <c r="R565" s="20" t="s">
        <v>198</v>
      </c>
    </row>
    <row r="566" spans="1:18" x14ac:dyDescent="0.3">
      <c r="A566" s="18">
        <v>290</v>
      </c>
      <c r="B566" s="18">
        <v>750</v>
      </c>
      <c r="C566" s="18">
        <v>30</v>
      </c>
      <c r="D566" s="18">
        <v>125</v>
      </c>
      <c r="H566" s="18">
        <f t="shared" si="11"/>
        <v>386.66666666666669</v>
      </c>
      <c r="I566" s="18">
        <v>103.1</v>
      </c>
      <c r="J566" s="18" t="s">
        <v>23</v>
      </c>
      <c r="K566" s="18">
        <v>275.7</v>
      </c>
      <c r="N566" s="18">
        <v>98.4</v>
      </c>
      <c r="R566" s="20" t="s">
        <v>198</v>
      </c>
    </row>
    <row r="567" spans="1:18" x14ac:dyDescent="0.3">
      <c r="A567" s="18">
        <v>220</v>
      </c>
      <c r="B567" s="18">
        <v>770</v>
      </c>
      <c r="C567" s="18">
        <v>30</v>
      </c>
      <c r="D567" s="18">
        <v>129</v>
      </c>
      <c r="H567" s="18">
        <f t="shared" si="11"/>
        <v>285.71428571428572</v>
      </c>
      <c r="I567" s="18">
        <v>73.900000000000006</v>
      </c>
      <c r="J567" s="18" t="s">
        <v>23</v>
      </c>
      <c r="K567" s="18">
        <v>262.3</v>
      </c>
      <c r="N567" s="18">
        <v>98.6</v>
      </c>
      <c r="R567" s="20" t="s">
        <v>198</v>
      </c>
    </row>
    <row r="568" spans="1:18" x14ac:dyDescent="0.3">
      <c r="A568" s="18">
        <v>150</v>
      </c>
      <c r="B568" s="18">
        <v>830</v>
      </c>
      <c r="C568" s="18">
        <v>30</v>
      </c>
      <c r="D568" s="18">
        <v>117</v>
      </c>
      <c r="H568" s="18">
        <f t="shared" si="11"/>
        <v>180.72289156626505</v>
      </c>
      <c r="I568" s="18">
        <v>51.5</v>
      </c>
      <c r="J568" s="18" t="s">
        <v>23</v>
      </c>
      <c r="K568" s="18">
        <v>245.7</v>
      </c>
      <c r="N568" s="18">
        <v>98.4</v>
      </c>
      <c r="R568" s="20" t="s">
        <v>198</v>
      </c>
    </row>
    <row r="569" spans="1:18" x14ac:dyDescent="0.3">
      <c r="A569" s="18">
        <v>255</v>
      </c>
      <c r="B569" s="18">
        <v>830</v>
      </c>
      <c r="C569" s="18">
        <v>30</v>
      </c>
      <c r="D569" s="18">
        <v>111</v>
      </c>
      <c r="H569" s="18">
        <f t="shared" si="11"/>
        <v>307.22891566265059</v>
      </c>
      <c r="I569" s="18">
        <v>92.1</v>
      </c>
      <c r="J569" s="18" t="s">
        <v>23</v>
      </c>
      <c r="K569" s="18">
        <v>251.4</v>
      </c>
      <c r="N569" s="18">
        <v>98.8</v>
      </c>
      <c r="R569" s="20" t="s">
        <v>198</v>
      </c>
    </row>
    <row r="570" spans="1:18" x14ac:dyDescent="0.3">
      <c r="A570" s="18">
        <v>185</v>
      </c>
      <c r="B570" s="18">
        <v>770</v>
      </c>
      <c r="C570" s="18">
        <v>30</v>
      </c>
      <c r="D570" s="18">
        <v>123</v>
      </c>
      <c r="H570" s="18">
        <f t="shared" si="11"/>
        <v>240.25974025974025</v>
      </c>
      <c r="I570" s="18">
        <v>65.099999999999994</v>
      </c>
      <c r="J570" s="18" t="s">
        <v>23</v>
      </c>
      <c r="K570" s="18">
        <v>243.9</v>
      </c>
      <c r="N570" s="18">
        <v>98.9</v>
      </c>
      <c r="R570" s="20" t="s">
        <v>198</v>
      </c>
    </row>
    <row r="571" spans="1:18" x14ac:dyDescent="0.3">
      <c r="A571" s="18">
        <v>150</v>
      </c>
      <c r="B571" s="18">
        <v>770</v>
      </c>
      <c r="C571" s="18">
        <v>30</v>
      </c>
      <c r="D571" s="18">
        <v>123</v>
      </c>
      <c r="H571" s="18">
        <f t="shared" si="11"/>
        <v>194.80519480519482</v>
      </c>
      <c r="I571" s="18">
        <v>52.8</v>
      </c>
      <c r="J571" s="18" t="s">
        <v>23</v>
      </c>
      <c r="K571" s="18">
        <v>253.5</v>
      </c>
      <c r="N571" s="18">
        <v>99.2</v>
      </c>
      <c r="R571" s="20" t="s">
        <v>198</v>
      </c>
    </row>
    <row r="572" spans="1:18" x14ac:dyDescent="0.3">
      <c r="A572" s="18">
        <v>220</v>
      </c>
      <c r="B572" s="18">
        <v>710</v>
      </c>
      <c r="C572" s="18">
        <v>30</v>
      </c>
      <c r="D572" s="18">
        <v>123</v>
      </c>
      <c r="H572" s="18">
        <f t="shared" si="11"/>
        <v>309.85915492957741</v>
      </c>
      <c r="I572" s="18">
        <v>83.9</v>
      </c>
      <c r="J572" s="18" t="s">
        <v>23</v>
      </c>
      <c r="K572" s="18">
        <v>250.6</v>
      </c>
      <c r="N572" s="18">
        <v>98.5</v>
      </c>
      <c r="R572" s="20" t="s">
        <v>198</v>
      </c>
    </row>
    <row r="573" spans="1:18" x14ac:dyDescent="0.3">
      <c r="A573" s="18">
        <v>255</v>
      </c>
      <c r="B573" s="18">
        <v>890</v>
      </c>
      <c r="C573" s="18">
        <v>30</v>
      </c>
      <c r="D573" s="18">
        <v>117</v>
      </c>
      <c r="H573" s="18">
        <f t="shared" si="11"/>
        <v>286.51685393258424</v>
      </c>
      <c r="I573" s="18">
        <v>81.599999999999994</v>
      </c>
      <c r="J573" s="18" t="s">
        <v>23</v>
      </c>
      <c r="K573" s="18">
        <v>254.9</v>
      </c>
      <c r="N573" s="18">
        <v>98.4</v>
      </c>
      <c r="R573" s="20" t="s">
        <v>198</v>
      </c>
    </row>
    <row r="574" spans="1:18" x14ac:dyDescent="0.3">
      <c r="A574" s="18">
        <v>290</v>
      </c>
      <c r="B574" s="18">
        <v>675</v>
      </c>
      <c r="C574" s="18">
        <v>30</v>
      </c>
      <c r="D574" s="18">
        <v>129</v>
      </c>
      <c r="H574" s="18">
        <f t="shared" si="11"/>
        <v>429.62962962962962</v>
      </c>
      <c r="I574" s="18">
        <v>111</v>
      </c>
      <c r="J574" s="18" t="s">
        <v>23</v>
      </c>
      <c r="K574" s="18">
        <v>255.9</v>
      </c>
      <c r="N574" s="18">
        <v>96.7</v>
      </c>
      <c r="R574" s="20" t="s">
        <v>198</v>
      </c>
    </row>
    <row r="575" spans="1:18" x14ac:dyDescent="0.3">
      <c r="A575" s="18">
        <v>25</v>
      </c>
      <c r="B575" s="18">
        <v>700</v>
      </c>
      <c r="C575" s="18">
        <v>20</v>
      </c>
      <c r="D575" s="18">
        <v>80</v>
      </c>
      <c r="E575" s="18">
        <v>50</v>
      </c>
      <c r="F575" s="18" t="s">
        <v>109</v>
      </c>
      <c r="H575" s="18">
        <f t="shared" si="11"/>
        <v>35.714285714285715</v>
      </c>
      <c r="I575" s="18">
        <v>22.3</v>
      </c>
      <c r="N575" s="18">
        <v>76.02</v>
      </c>
      <c r="P575" s="18" t="s">
        <v>27</v>
      </c>
      <c r="Q575" s="18" t="s">
        <v>58</v>
      </c>
      <c r="R575" s="20" t="s">
        <v>199</v>
      </c>
    </row>
    <row r="576" spans="1:18" x14ac:dyDescent="0.3">
      <c r="A576" s="18">
        <v>25</v>
      </c>
      <c r="B576" s="18">
        <v>700</v>
      </c>
      <c r="C576" s="18">
        <v>20</v>
      </c>
      <c r="D576" s="18">
        <v>40</v>
      </c>
      <c r="E576" s="18">
        <v>50</v>
      </c>
      <c r="F576" s="18" t="s">
        <v>109</v>
      </c>
      <c r="H576" s="18">
        <f t="shared" si="11"/>
        <v>35.714285714285715</v>
      </c>
      <c r="I576" s="18">
        <v>44.6</v>
      </c>
      <c r="N576" s="18">
        <v>91.22</v>
      </c>
      <c r="P576" s="18" t="s">
        <v>27</v>
      </c>
      <c r="Q576" s="18" t="s">
        <v>58</v>
      </c>
      <c r="R576" s="20" t="s">
        <v>199</v>
      </c>
    </row>
    <row r="577" spans="1:18" x14ac:dyDescent="0.3">
      <c r="A577" s="18">
        <v>100</v>
      </c>
      <c r="B577" s="18">
        <v>1700</v>
      </c>
      <c r="C577" s="18">
        <v>20</v>
      </c>
      <c r="D577" s="18">
        <v>60</v>
      </c>
      <c r="E577" s="18">
        <v>50</v>
      </c>
      <c r="F577" s="18" t="s">
        <v>109</v>
      </c>
      <c r="H577" s="18">
        <f t="shared" si="11"/>
        <v>58.823529411764703</v>
      </c>
      <c r="I577" s="18">
        <v>49</v>
      </c>
      <c r="N577" s="18">
        <v>98.12</v>
      </c>
      <c r="P577" s="18" t="s">
        <v>27</v>
      </c>
      <c r="Q577" s="18" t="s">
        <v>58</v>
      </c>
      <c r="R577" s="20" t="s">
        <v>199</v>
      </c>
    </row>
    <row r="578" spans="1:18" x14ac:dyDescent="0.3">
      <c r="A578" s="18">
        <v>80</v>
      </c>
      <c r="B578" s="18">
        <v>1500</v>
      </c>
      <c r="C578" s="18">
        <v>20</v>
      </c>
      <c r="D578" s="18">
        <v>40</v>
      </c>
      <c r="E578" s="18">
        <v>50</v>
      </c>
      <c r="F578" s="18" t="s">
        <v>109</v>
      </c>
      <c r="H578" s="18">
        <f t="shared" si="11"/>
        <v>53.333333333333336</v>
      </c>
      <c r="I578" s="18">
        <v>66.7</v>
      </c>
      <c r="N578" s="18">
        <v>98.33</v>
      </c>
      <c r="P578" s="18" t="s">
        <v>27</v>
      </c>
      <c r="Q578" s="18" t="s">
        <v>58</v>
      </c>
      <c r="R578" s="20" t="s">
        <v>199</v>
      </c>
    </row>
    <row r="579" spans="1:18" x14ac:dyDescent="0.3">
      <c r="A579" s="18">
        <v>80</v>
      </c>
      <c r="B579" s="18">
        <v>700</v>
      </c>
      <c r="C579" s="18">
        <v>20</v>
      </c>
      <c r="D579" s="18">
        <v>80</v>
      </c>
      <c r="E579" s="18">
        <v>50</v>
      </c>
      <c r="F579" s="18" t="s">
        <v>109</v>
      </c>
      <c r="H579" s="18">
        <f t="shared" si="11"/>
        <v>114.28571428571428</v>
      </c>
      <c r="I579" s="18">
        <v>71.400000000000006</v>
      </c>
      <c r="N579" s="18">
        <v>99.02</v>
      </c>
      <c r="P579" s="18" t="s">
        <v>27</v>
      </c>
      <c r="Q579" s="18" t="s">
        <v>58</v>
      </c>
      <c r="R579" s="20" t="s">
        <v>199</v>
      </c>
    </row>
    <row r="580" spans="1:18" x14ac:dyDescent="0.3">
      <c r="A580" s="18">
        <v>100</v>
      </c>
      <c r="B580" s="18">
        <v>1500</v>
      </c>
      <c r="C580" s="18">
        <v>20</v>
      </c>
      <c r="D580" s="18">
        <v>40</v>
      </c>
      <c r="E580" s="18">
        <v>50</v>
      </c>
      <c r="F580" s="18" t="s">
        <v>109</v>
      </c>
      <c r="H580" s="18">
        <f t="shared" si="11"/>
        <v>66.666666666666671</v>
      </c>
      <c r="I580" s="18">
        <v>83.3</v>
      </c>
      <c r="N580" s="18">
        <v>99.13</v>
      </c>
      <c r="P580" s="18" t="s">
        <v>27</v>
      </c>
      <c r="Q580" s="18" t="s">
        <v>58</v>
      </c>
      <c r="R580" s="20" t="s">
        <v>199</v>
      </c>
    </row>
    <row r="581" spans="1:18" x14ac:dyDescent="0.3">
      <c r="A581" s="18">
        <v>100</v>
      </c>
      <c r="B581" s="18">
        <v>700</v>
      </c>
      <c r="C581" s="18">
        <v>20</v>
      </c>
      <c r="D581" s="18">
        <v>80</v>
      </c>
      <c r="E581" s="18">
        <v>50</v>
      </c>
      <c r="F581" s="18" t="s">
        <v>109</v>
      </c>
      <c r="H581" s="18">
        <f t="shared" si="11"/>
        <v>142.85714285714286</v>
      </c>
      <c r="I581" s="18">
        <v>89.3</v>
      </c>
      <c r="N581" s="18">
        <v>99.4</v>
      </c>
      <c r="P581" s="18" t="s">
        <v>27</v>
      </c>
      <c r="Q581" s="18" t="s">
        <v>58</v>
      </c>
      <c r="R581" s="20" t="s">
        <v>199</v>
      </c>
    </row>
    <row r="582" spans="1:18" x14ac:dyDescent="0.3">
      <c r="A582" s="18">
        <v>80</v>
      </c>
      <c r="B582" s="18">
        <v>700</v>
      </c>
      <c r="C582" s="18">
        <v>20</v>
      </c>
      <c r="D582" s="18">
        <v>40</v>
      </c>
      <c r="E582" s="18">
        <v>50</v>
      </c>
      <c r="F582" s="18" t="s">
        <v>109</v>
      </c>
      <c r="H582" s="18">
        <f t="shared" si="11"/>
        <v>114.28571428571428</v>
      </c>
      <c r="I582" s="18">
        <v>142.9</v>
      </c>
      <c r="N582" s="18">
        <v>99.21</v>
      </c>
      <c r="P582" s="18" t="s">
        <v>27</v>
      </c>
      <c r="Q582" s="18" t="s">
        <v>58</v>
      </c>
      <c r="R582" s="20" t="s">
        <v>199</v>
      </c>
    </row>
    <row r="583" spans="1:18" x14ac:dyDescent="0.3">
      <c r="A583" s="18">
        <v>80</v>
      </c>
      <c r="B583" s="18">
        <v>300</v>
      </c>
      <c r="C583" s="18">
        <v>20</v>
      </c>
      <c r="D583" s="18">
        <v>80</v>
      </c>
      <c r="E583" s="18">
        <v>50</v>
      </c>
      <c r="F583" s="18" t="s">
        <v>109</v>
      </c>
      <c r="H583" s="18">
        <f t="shared" si="11"/>
        <v>266.66666666666669</v>
      </c>
      <c r="I583" s="18">
        <v>166.7</v>
      </c>
      <c r="N583" s="18">
        <v>98.38</v>
      </c>
      <c r="P583" s="18" t="s">
        <v>27</v>
      </c>
      <c r="Q583" s="18" t="s">
        <v>58</v>
      </c>
      <c r="R583" s="20" t="s">
        <v>199</v>
      </c>
    </row>
    <row r="584" spans="1:18" x14ac:dyDescent="0.3">
      <c r="A584" s="18">
        <v>100</v>
      </c>
      <c r="B584" s="18">
        <v>700</v>
      </c>
      <c r="C584" s="18">
        <v>20</v>
      </c>
      <c r="D584" s="18">
        <v>40</v>
      </c>
      <c r="E584" s="18">
        <v>50</v>
      </c>
      <c r="F584" s="18" t="s">
        <v>109</v>
      </c>
      <c r="H584" s="18">
        <f t="shared" si="11"/>
        <v>142.85714285714286</v>
      </c>
      <c r="I584" s="18">
        <v>178.6</v>
      </c>
      <c r="N584" s="18">
        <v>98.92</v>
      </c>
      <c r="P584" s="18" t="s">
        <v>27</v>
      </c>
      <c r="Q584" s="18" t="s">
        <v>58</v>
      </c>
      <c r="R584" s="20" t="s">
        <v>199</v>
      </c>
    </row>
    <row r="585" spans="1:18" x14ac:dyDescent="0.3">
      <c r="A585" s="18">
        <v>100</v>
      </c>
      <c r="B585" s="18">
        <v>300</v>
      </c>
      <c r="C585" s="18">
        <v>20</v>
      </c>
      <c r="D585" s="18">
        <v>80</v>
      </c>
      <c r="E585" s="18">
        <v>50</v>
      </c>
      <c r="F585" s="18" t="s">
        <v>109</v>
      </c>
      <c r="H585" s="18">
        <f t="shared" si="11"/>
        <v>333.33333333333331</v>
      </c>
      <c r="I585" s="18">
        <v>208.3</v>
      </c>
      <c r="N585" s="18">
        <v>97.63</v>
      </c>
      <c r="P585" s="18" t="s">
        <v>27</v>
      </c>
      <c r="Q585" s="18" t="s">
        <v>58</v>
      </c>
      <c r="R585" s="20" t="s">
        <v>199</v>
      </c>
    </row>
    <row r="586" spans="1:18" x14ac:dyDescent="0.3">
      <c r="A586" s="18">
        <v>80</v>
      </c>
      <c r="B586" s="18">
        <v>300</v>
      </c>
      <c r="C586" s="18">
        <v>20</v>
      </c>
      <c r="D586" s="18">
        <v>40</v>
      </c>
      <c r="E586" s="18">
        <v>50</v>
      </c>
      <c r="F586" s="18" t="s">
        <v>109</v>
      </c>
      <c r="H586" s="18">
        <f t="shared" si="11"/>
        <v>266.66666666666669</v>
      </c>
      <c r="I586" s="18">
        <v>333.3</v>
      </c>
      <c r="N586" s="18">
        <v>97.36</v>
      </c>
      <c r="P586" s="18" t="s">
        <v>27</v>
      </c>
      <c r="Q586" s="18" t="s">
        <v>58</v>
      </c>
      <c r="R586" s="20" t="s">
        <v>199</v>
      </c>
    </row>
    <row r="587" spans="1:18" x14ac:dyDescent="0.3">
      <c r="A587" s="18">
        <v>100</v>
      </c>
      <c r="B587" s="18">
        <v>1388</v>
      </c>
      <c r="C587" s="18">
        <v>20</v>
      </c>
      <c r="D587" s="18">
        <v>40</v>
      </c>
      <c r="E587" s="18">
        <v>50</v>
      </c>
      <c r="F587" s="18" t="s">
        <v>109</v>
      </c>
      <c r="G587" s="18">
        <v>0</v>
      </c>
      <c r="H587" s="18">
        <f t="shared" si="11"/>
        <v>72.046109510086453</v>
      </c>
      <c r="I587" s="18">
        <v>90</v>
      </c>
      <c r="L587" s="18">
        <v>50</v>
      </c>
      <c r="M587" s="18">
        <v>344</v>
      </c>
      <c r="N587" s="18">
        <v>98.92</v>
      </c>
      <c r="P587" s="18" t="s">
        <v>27</v>
      </c>
      <c r="Q587" s="18" t="s">
        <v>58</v>
      </c>
      <c r="R587" s="20" t="s">
        <v>199</v>
      </c>
    </row>
    <row r="588" spans="1:18" x14ac:dyDescent="0.3">
      <c r="A588" s="18">
        <v>100</v>
      </c>
      <c r="B588" s="18">
        <v>925</v>
      </c>
      <c r="C588" s="18">
        <v>20</v>
      </c>
      <c r="D588" s="18">
        <v>60</v>
      </c>
      <c r="E588" s="18">
        <v>50</v>
      </c>
      <c r="F588" s="18" t="s">
        <v>109</v>
      </c>
      <c r="G588" s="18">
        <v>0</v>
      </c>
      <c r="H588" s="18">
        <f t="shared" si="11"/>
        <v>108.10810810810811</v>
      </c>
      <c r="I588" s="18">
        <v>90</v>
      </c>
      <c r="L588" s="18">
        <v>51</v>
      </c>
      <c r="M588" s="18">
        <v>471</v>
      </c>
      <c r="N588" s="18">
        <v>99.16</v>
      </c>
      <c r="P588" s="18" t="s">
        <v>27</v>
      </c>
      <c r="Q588" s="18" t="s">
        <v>58</v>
      </c>
      <c r="R588" s="20" t="s">
        <v>199</v>
      </c>
    </row>
    <row r="589" spans="1:18" x14ac:dyDescent="0.3">
      <c r="A589" s="18">
        <v>100</v>
      </c>
      <c r="B589" s="18">
        <v>694</v>
      </c>
      <c r="C589" s="18">
        <v>20</v>
      </c>
      <c r="D589" s="18">
        <v>80</v>
      </c>
      <c r="E589" s="18">
        <v>50</v>
      </c>
      <c r="F589" s="18" t="s">
        <v>109</v>
      </c>
      <c r="G589" s="18">
        <v>0</v>
      </c>
      <c r="H589" s="18">
        <f t="shared" si="11"/>
        <v>144.09221902017291</v>
      </c>
      <c r="I589" s="18">
        <v>90</v>
      </c>
      <c r="L589" s="18">
        <v>69</v>
      </c>
      <c r="M589" s="18">
        <v>249</v>
      </c>
      <c r="N589" s="18">
        <v>98.84</v>
      </c>
      <c r="P589" s="18" t="s">
        <v>27</v>
      </c>
      <c r="Q589" s="18" t="s">
        <v>58</v>
      </c>
      <c r="R589" s="20" t="s">
        <v>199</v>
      </c>
    </row>
    <row r="590" spans="1:18" x14ac:dyDescent="0.3">
      <c r="A590" s="18">
        <v>100</v>
      </c>
      <c r="B590" s="18">
        <v>462</v>
      </c>
      <c r="C590" s="18">
        <v>20</v>
      </c>
      <c r="D590" s="18">
        <v>120</v>
      </c>
      <c r="E590" s="18">
        <v>50</v>
      </c>
      <c r="F590" s="18" t="s">
        <v>109</v>
      </c>
      <c r="G590" s="18">
        <v>0</v>
      </c>
      <c r="H590" s="18">
        <f t="shared" si="11"/>
        <v>216.45021645021646</v>
      </c>
      <c r="I590" s="18">
        <v>90</v>
      </c>
      <c r="L590" s="18">
        <v>89</v>
      </c>
      <c r="M590" s="18">
        <v>216</v>
      </c>
      <c r="N590" s="18">
        <v>98.46</v>
      </c>
      <c r="P590" s="18" t="s">
        <v>27</v>
      </c>
      <c r="Q590" s="18" t="s">
        <v>58</v>
      </c>
      <c r="R590" s="20" t="s">
        <v>199</v>
      </c>
    </row>
    <row r="591" spans="1:18" x14ac:dyDescent="0.3">
      <c r="A591" s="18">
        <v>100</v>
      </c>
      <c r="B591" s="18">
        <v>1388</v>
      </c>
      <c r="C591" s="18">
        <v>20</v>
      </c>
      <c r="D591" s="18">
        <v>40</v>
      </c>
      <c r="E591" s="18">
        <v>50</v>
      </c>
      <c r="F591" s="18" t="s">
        <v>109</v>
      </c>
      <c r="G591" s="18">
        <v>30</v>
      </c>
      <c r="H591" s="18">
        <f t="shared" si="11"/>
        <v>72.046109510086453</v>
      </c>
      <c r="I591" s="18">
        <v>90</v>
      </c>
      <c r="L591" s="18">
        <v>88</v>
      </c>
      <c r="M591" s="18">
        <v>495</v>
      </c>
      <c r="N591" s="18">
        <v>99.24</v>
      </c>
      <c r="P591" s="18" t="s">
        <v>27</v>
      </c>
      <c r="Q591" s="18" t="s">
        <v>58</v>
      </c>
      <c r="R591" s="20" t="s">
        <v>199</v>
      </c>
    </row>
    <row r="592" spans="1:18" x14ac:dyDescent="0.3">
      <c r="A592" s="18">
        <v>100</v>
      </c>
      <c r="B592" s="18">
        <v>925</v>
      </c>
      <c r="C592" s="18">
        <v>20</v>
      </c>
      <c r="D592" s="18">
        <v>60</v>
      </c>
      <c r="E592" s="18">
        <v>50</v>
      </c>
      <c r="F592" s="18" t="s">
        <v>109</v>
      </c>
      <c r="G592" s="18">
        <v>30</v>
      </c>
      <c r="H592" s="18">
        <f t="shared" si="11"/>
        <v>108.10810810810811</v>
      </c>
      <c r="I592" s="18">
        <v>90</v>
      </c>
      <c r="L592" s="18">
        <v>87</v>
      </c>
      <c r="M592" s="18">
        <v>536</v>
      </c>
      <c r="N592" s="18">
        <v>99.52</v>
      </c>
      <c r="P592" s="18" t="s">
        <v>27</v>
      </c>
      <c r="Q592" s="18" t="s">
        <v>58</v>
      </c>
      <c r="R592" s="20" t="s">
        <v>199</v>
      </c>
    </row>
    <row r="593" spans="1:18" x14ac:dyDescent="0.3">
      <c r="A593" s="18">
        <v>100</v>
      </c>
      <c r="B593" s="18">
        <v>694</v>
      </c>
      <c r="C593" s="18">
        <v>20</v>
      </c>
      <c r="D593" s="18">
        <v>80</v>
      </c>
      <c r="E593" s="18">
        <v>50</v>
      </c>
      <c r="F593" s="18" t="s">
        <v>109</v>
      </c>
      <c r="G593" s="18">
        <v>30</v>
      </c>
      <c r="H593" s="18">
        <f t="shared" si="11"/>
        <v>144.09221902017291</v>
      </c>
      <c r="I593" s="18">
        <v>90</v>
      </c>
      <c r="L593" s="18">
        <v>93</v>
      </c>
      <c r="M593" s="18">
        <v>378</v>
      </c>
      <c r="N593" s="18">
        <v>99.44</v>
      </c>
      <c r="P593" s="18" t="s">
        <v>27</v>
      </c>
      <c r="Q593" s="18" t="s">
        <v>58</v>
      </c>
      <c r="R593" s="20" t="s">
        <v>199</v>
      </c>
    </row>
    <row r="594" spans="1:18" x14ac:dyDescent="0.3">
      <c r="A594" s="18">
        <v>100</v>
      </c>
      <c r="B594" s="18">
        <v>462</v>
      </c>
      <c r="C594" s="18">
        <v>20</v>
      </c>
      <c r="D594" s="18">
        <v>120</v>
      </c>
      <c r="E594" s="18">
        <v>50</v>
      </c>
      <c r="F594" s="18" t="s">
        <v>109</v>
      </c>
      <c r="G594" s="18">
        <v>30</v>
      </c>
      <c r="H594" s="18">
        <f t="shared" si="11"/>
        <v>216.45021645021646</v>
      </c>
      <c r="I594" s="18">
        <v>90</v>
      </c>
      <c r="L594" s="18">
        <v>91</v>
      </c>
      <c r="M594" s="18">
        <v>258</v>
      </c>
      <c r="N594" s="18">
        <v>98.9</v>
      </c>
      <c r="P594" s="18" t="s">
        <v>27</v>
      </c>
      <c r="Q594" s="18" t="s">
        <v>58</v>
      </c>
      <c r="R594" s="20" t="s">
        <v>199</v>
      </c>
    </row>
    <row r="595" spans="1:18" x14ac:dyDescent="0.3">
      <c r="A595" s="18">
        <v>100</v>
      </c>
      <c r="B595" s="18">
        <v>1388</v>
      </c>
      <c r="C595" s="18">
        <v>20</v>
      </c>
      <c r="D595" s="18">
        <v>40</v>
      </c>
      <c r="E595" s="18">
        <v>50</v>
      </c>
      <c r="F595" s="18" t="s">
        <v>109</v>
      </c>
      <c r="G595" s="18">
        <v>60</v>
      </c>
      <c r="H595" s="18">
        <f t="shared" si="11"/>
        <v>72.046109510086453</v>
      </c>
      <c r="I595" s="18">
        <v>90</v>
      </c>
      <c r="L595" s="18">
        <v>63</v>
      </c>
      <c r="M595" s="18">
        <v>138</v>
      </c>
      <c r="N595" s="18">
        <v>99.08</v>
      </c>
      <c r="P595" s="18" t="s">
        <v>27</v>
      </c>
      <c r="Q595" s="18" t="s">
        <v>58</v>
      </c>
      <c r="R595" s="20" t="s">
        <v>199</v>
      </c>
    </row>
    <row r="596" spans="1:18" x14ac:dyDescent="0.3">
      <c r="A596" s="18">
        <v>100</v>
      </c>
      <c r="B596" s="18">
        <v>925</v>
      </c>
      <c r="C596" s="18">
        <v>20</v>
      </c>
      <c r="D596" s="18">
        <v>60</v>
      </c>
      <c r="E596" s="18">
        <v>50</v>
      </c>
      <c r="F596" s="18" t="s">
        <v>109</v>
      </c>
      <c r="G596" s="18">
        <v>60</v>
      </c>
      <c r="H596" s="18">
        <f t="shared" si="11"/>
        <v>108.10810810810811</v>
      </c>
      <c r="I596" s="18">
        <v>90</v>
      </c>
      <c r="L596" s="18">
        <v>74</v>
      </c>
      <c r="M596" s="18">
        <v>123</v>
      </c>
      <c r="N596" s="18">
        <v>99.01</v>
      </c>
      <c r="P596" s="18" t="s">
        <v>27</v>
      </c>
      <c r="Q596" s="18" t="s">
        <v>58</v>
      </c>
      <c r="R596" s="20" t="s">
        <v>199</v>
      </c>
    </row>
    <row r="597" spans="1:18" x14ac:dyDescent="0.3">
      <c r="A597" s="18">
        <v>100</v>
      </c>
      <c r="B597" s="18">
        <v>694</v>
      </c>
      <c r="C597" s="18">
        <v>20</v>
      </c>
      <c r="D597" s="18">
        <v>80</v>
      </c>
      <c r="E597" s="18">
        <v>50</v>
      </c>
      <c r="F597" s="18" t="s">
        <v>109</v>
      </c>
      <c r="G597" s="18">
        <v>60</v>
      </c>
      <c r="H597" s="18">
        <f t="shared" si="11"/>
        <v>144.09221902017291</v>
      </c>
      <c r="I597" s="18">
        <v>90</v>
      </c>
      <c r="L597" s="18">
        <v>59</v>
      </c>
      <c r="M597" s="18">
        <v>88</v>
      </c>
      <c r="N597" s="18">
        <v>98.98</v>
      </c>
      <c r="P597" s="18" t="s">
        <v>27</v>
      </c>
      <c r="Q597" s="18" t="s">
        <v>58</v>
      </c>
      <c r="R597" s="20" t="s">
        <v>199</v>
      </c>
    </row>
    <row r="598" spans="1:18" x14ac:dyDescent="0.3">
      <c r="A598" s="18">
        <v>100</v>
      </c>
      <c r="B598" s="18">
        <v>462</v>
      </c>
      <c r="C598" s="18">
        <v>20</v>
      </c>
      <c r="D598" s="18">
        <v>120</v>
      </c>
      <c r="E598" s="18">
        <v>50</v>
      </c>
      <c r="F598" s="18" t="s">
        <v>109</v>
      </c>
      <c r="G598" s="18">
        <v>60</v>
      </c>
      <c r="H598" s="18">
        <f t="shared" si="11"/>
        <v>216.45021645021646</v>
      </c>
      <c r="I598" s="18">
        <v>90</v>
      </c>
      <c r="L598" s="18">
        <v>66</v>
      </c>
      <c r="M598" s="18">
        <v>128</v>
      </c>
      <c r="N598" s="18">
        <v>97.85</v>
      </c>
      <c r="R598" s="20" t="s">
        <v>199</v>
      </c>
    </row>
    <row r="599" spans="1:18" x14ac:dyDescent="0.3">
      <c r="A599" s="18">
        <v>150</v>
      </c>
      <c r="B599" s="18">
        <v>900</v>
      </c>
      <c r="C599" s="18">
        <v>30</v>
      </c>
      <c r="D599" s="18">
        <v>80</v>
      </c>
      <c r="H599" s="18">
        <f t="shared" si="11"/>
        <v>166.66666666666666</v>
      </c>
      <c r="L599" s="18">
        <v>40.36</v>
      </c>
      <c r="R599" s="20" t="s">
        <v>200</v>
      </c>
    </row>
    <row r="600" spans="1:18" x14ac:dyDescent="0.3">
      <c r="A600" s="18">
        <v>150</v>
      </c>
      <c r="B600" s="18">
        <v>900</v>
      </c>
      <c r="C600" s="18">
        <v>30</v>
      </c>
      <c r="D600" s="18">
        <v>80</v>
      </c>
      <c r="H600" s="18">
        <f t="shared" si="11"/>
        <v>166.66666666666666</v>
      </c>
      <c r="L600" s="18">
        <v>109.1</v>
      </c>
      <c r="R600" s="20" t="s">
        <v>200</v>
      </c>
    </row>
    <row r="601" spans="1:18" x14ac:dyDescent="0.3">
      <c r="A601" s="18">
        <v>150</v>
      </c>
      <c r="B601" s="18">
        <v>900</v>
      </c>
      <c r="C601" s="18">
        <v>30</v>
      </c>
      <c r="D601" s="18">
        <v>80</v>
      </c>
      <c r="H601" s="18">
        <f t="shared" si="11"/>
        <v>166.66666666666666</v>
      </c>
      <c r="L601" s="18">
        <v>205.1</v>
      </c>
      <c r="R601" s="20" t="s">
        <v>200</v>
      </c>
    </row>
    <row r="602" spans="1:18" x14ac:dyDescent="0.3">
      <c r="A602" s="18">
        <v>150</v>
      </c>
      <c r="B602" s="18">
        <v>900</v>
      </c>
      <c r="C602" s="18">
        <v>30</v>
      </c>
      <c r="D602" s="18">
        <v>80</v>
      </c>
      <c r="H602" s="18">
        <f t="shared" si="11"/>
        <v>166.66666666666666</v>
      </c>
      <c r="L602" s="18">
        <v>358.8</v>
      </c>
      <c r="R602" s="20" t="s">
        <v>200</v>
      </c>
    </row>
    <row r="603" spans="1:18" x14ac:dyDescent="0.3">
      <c r="A603" s="18">
        <v>150</v>
      </c>
      <c r="B603" s="18">
        <v>900</v>
      </c>
      <c r="C603" s="18">
        <v>30</v>
      </c>
      <c r="D603" s="18">
        <v>80</v>
      </c>
      <c r="H603" s="18">
        <f t="shared" si="11"/>
        <v>166.66666666666666</v>
      </c>
      <c r="L603" s="18">
        <v>579.29999999999995</v>
      </c>
      <c r="R603" s="20" t="s">
        <v>200</v>
      </c>
    </row>
    <row r="604" spans="1:18" x14ac:dyDescent="0.3">
      <c r="A604" s="18">
        <v>150</v>
      </c>
      <c r="B604" s="18">
        <v>900</v>
      </c>
      <c r="C604" s="18">
        <v>30</v>
      </c>
      <c r="D604" s="18">
        <v>80</v>
      </c>
      <c r="H604" s="18">
        <f t="shared" si="11"/>
        <v>166.66666666666666</v>
      </c>
      <c r="L604" s="18">
        <v>35.700000000000003</v>
      </c>
      <c r="R604" s="20" t="s">
        <v>200</v>
      </c>
    </row>
    <row r="605" spans="1:18" x14ac:dyDescent="0.3">
      <c r="A605" s="18">
        <v>150</v>
      </c>
      <c r="B605" s="18">
        <v>900</v>
      </c>
      <c r="C605" s="18">
        <v>30</v>
      </c>
      <c r="D605" s="18">
        <v>80</v>
      </c>
      <c r="H605" s="18">
        <f t="shared" si="11"/>
        <v>166.66666666666666</v>
      </c>
      <c r="L605" s="18">
        <v>93.3</v>
      </c>
      <c r="R605" s="20" t="s">
        <v>200</v>
      </c>
    </row>
    <row r="606" spans="1:18" x14ac:dyDescent="0.3">
      <c r="A606" s="18">
        <v>150</v>
      </c>
      <c r="B606" s="18">
        <v>900</v>
      </c>
      <c r="C606" s="18">
        <v>30</v>
      </c>
      <c r="D606" s="18">
        <v>80</v>
      </c>
      <c r="H606" s="18">
        <f t="shared" si="11"/>
        <v>166.66666666666666</v>
      </c>
      <c r="L606" s="18">
        <v>194.7</v>
      </c>
      <c r="R606" s="20" t="s">
        <v>200</v>
      </c>
    </row>
    <row r="607" spans="1:18" x14ac:dyDescent="0.3">
      <c r="A607" s="18">
        <v>150</v>
      </c>
      <c r="B607" s="18">
        <v>900</v>
      </c>
      <c r="C607" s="18">
        <v>30</v>
      </c>
      <c r="D607" s="18">
        <v>80</v>
      </c>
      <c r="H607" s="18">
        <f t="shared" si="11"/>
        <v>166.66666666666666</v>
      </c>
      <c r="L607" s="18">
        <v>363.7</v>
      </c>
      <c r="R607" s="20" t="s">
        <v>200</v>
      </c>
    </row>
    <row r="608" spans="1:18" x14ac:dyDescent="0.3">
      <c r="A608" s="18">
        <v>150</v>
      </c>
      <c r="B608" s="18">
        <v>900</v>
      </c>
      <c r="C608" s="18">
        <v>30</v>
      </c>
      <c r="D608" s="18">
        <v>80</v>
      </c>
      <c r="H608" s="18">
        <f t="shared" si="11"/>
        <v>166.66666666666666</v>
      </c>
      <c r="L608" s="18">
        <v>584.5</v>
      </c>
      <c r="R608" s="20" t="s">
        <v>200</v>
      </c>
    </row>
    <row r="609" spans="1:18" x14ac:dyDescent="0.3">
      <c r="A609" s="18">
        <v>100</v>
      </c>
      <c r="C609" s="18" t="s">
        <v>201</v>
      </c>
      <c r="D609" s="18">
        <v>110</v>
      </c>
      <c r="E609" s="18">
        <v>70</v>
      </c>
      <c r="F609" s="18" t="s">
        <v>202</v>
      </c>
      <c r="M609" s="18">
        <v>558</v>
      </c>
      <c r="R609" s="20" t="s">
        <v>203</v>
      </c>
    </row>
    <row r="610" spans="1:18" x14ac:dyDescent="0.3">
      <c r="A610" s="18">
        <v>200</v>
      </c>
      <c r="C610" s="18" t="s">
        <v>201</v>
      </c>
      <c r="D610" s="18">
        <v>110</v>
      </c>
      <c r="E610" s="18">
        <v>70</v>
      </c>
      <c r="M610" s="18">
        <v>545</v>
      </c>
      <c r="R610" s="20" t="s">
        <v>203</v>
      </c>
    </row>
    <row r="611" spans="1:18" x14ac:dyDescent="0.3">
      <c r="A611" s="18">
        <v>200</v>
      </c>
      <c r="C611" s="18" t="s">
        <v>201</v>
      </c>
      <c r="D611" s="18">
        <v>110</v>
      </c>
      <c r="E611" s="18">
        <v>70</v>
      </c>
      <c r="M611" s="18">
        <v>651</v>
      </c>
      <c r="R611" s="20" t="s">
        <v>203</v>
      </c>
    </row>
    <row r="612" spans="1:18" x14ac:dyDescent="0.3">
      <c r="A612" s="18">
        <v>200</v>
      </c>
      <c r="C612" s="18" t="s">
        <v>201</v>
      </c>
      <c r="D612" s="18">
        <v>110</v>
      </c>
      <c r="E612" s="18">
        <v>70</v>
      </c>
      <c r="M612" s="18">
        <v>625</v>
      </c>
      <c r="R612" s="20" t="s">
        <v>203</v>
      </c>
    </row>
    <row r="613" spans="1:18" x14ac:dyDescent="0.3">
      <c r="A613" s="18">
        <v>285</v>
      </c>
      <c r="B613" s="18">
        <v>960</v>
      </c>
      <c r="C613" s="18">
        <v>40</v>
      </c>
      <c r="D613" s="18">
        <v>110</v>
      </c>
      <c r="E613" s="18">
        <v>100</v>
      </c>
      <c r="G613" s="18" t="s">
        <v>204</v>
      </c>
      <c r="H613" s="18">
        <f>((A613/B613)*1000)</f>
        <v>296.875</v>
      </c>
      <c r="I613" s="18">
        <v>67.47</v>
      </c>
      <c r="J613" s="18" t="s">
        <v>22</v>
      </c>
      <c r="N613" s="18" t="s">
        <v>205</v>
      </c>
      <c r="O613" s="26" t="s">
        <v>206</v>
      </c>
      <c r="Q613" s="18" t="s">
        <v>58</v>
      </c>
      <c r="R613" s="20" t="s">
        <v>207</v>
      </c>
    </row>
    <row r="614" spans="1:18" x14ac:dyDescent="0.3">
      <c r="A614" s="18">
        <v>232</v>
      </c>
      <c r="B614" s="18">
        <v>800</v>
      </c>
      <c r="C614" s="18">
        <v>40</v>
      </c>
      <c r="D614" s="18">
        <v>110</v>
      </c>
      <c r="E614" s="18">
        <v>100</v>
      </c>
      <c r="G614" s="18" t="s">
        <v>204</v>
      </c>
      <c r="H614" s="18">
        <f t="shared" ref="H614:H624" si="12">((A614/B614)*1000)</f>
        <v>290</v>
      </c>
      <c r="I614" s="18">
        <v>67.47</v>
      </c>
      <c r="J614" s="18" t="s">
        <v>22</v>
      </c>
      <c r="N614" s="18" t="s">
        <v>208</v>
      </c>
      <c r="O614" s="26" t="s">
        <v>206</v>
      </c>
      <c r="Q614" s="18" t="s">
        <v>58</v>
      </c>
      <c r="R614" s="20" t="s">
        <v>207</v>
      </c>
    </row>
    <row r="615" spans="1:18" x14ac:dyDescent="0.3">
      <c r="A615" s="18">
        <v>180</v>
      </c>
      <c r="B615" s="18" t="s">
        <v>209</v>
      </c>
      <c r="C615" s="18">
        <v>40</v>
      </c>
      <c r="D615" s="18">
        <v>110</v>
      </c>
      <c r="E615" s="18">
        <v>100</v>
      </c>
      <c r="G615" s="18" t="s">
        <v>204</v>
      </c>
      <c r="I615" s="18">
        <v>67.47</v>
      </c>
      <c r="J615" s="18" t="s">
        <v>22</v>
      </c>
      <c r="N615" s="18" t="s">
        <v>210</v>
      </c>
      <c r="O615" s="26" t="s">
        <v>206</v>
      </c>
      <c r="Q615" s="18" t="s">
        <v>58</v>
      </c>
      <c r="R615" s="20" t="s">
        <v>207</v>
      </c>
    </row>
    <row r="616" spans="1:18" x14ac:dyDescent="0.3">
      <c r="A616" s="18">
        <v>50</v>
      </c>
      <c r="B616" s="18">
        <v>275</v>
      </c>
      <c r="C616" s="18">
        <v>40</v>
      </c>
      <c r="D616" s="18">
        <v>110</v>
      </c>
      <c r="E616" s="18">
        <v>100</v>
      </c>
      <c r="G616" s="18" t="s">
        <v>204</v>
      </c>
      <c r="H616" s="18">
        <f t="shared" si="12"/>
        <v>181.81818181818181</v>
      </c>
      <c r="I616" s="18">
        <v>67.47</v>
      </c>
      <c r="J616" s="18" t="s">
        <v>22</v>
      </c>
      <c r="N616" s="18" t="s">
        <v>211</v>
      </c>
      <c r="O616" s="26" t="s">
        <v>206</v>
      </c>
      <c r="Q616" s="18" t="s">
        <v>58</v>
      </c>
      <c r="R616" s="20" t="s">
        <v>207</v>
      </c>
    </row>
    <row r="617" spans="1:18" x14ac:dyDescent="0.3">
      <c r="A617" s="18">
        <v>250</v>
      </c>
      <c r="B617" s="18">
        <v>700</v>
      </c>
      <c r="C617" s="18">
        <v>30</v>
      </c>
      <c r="D617" s="18">
        <v>110</v>
      </c>
      <c r="E617" s="18">
        <v>80</v>
      </c>
      <c r="H617" s="18">
        <f t="shared" si="12"/>
        <v>357.14285714285717</v>
      </c>
      <c r="I617" s="18">
        <v>53.41</v>
      </c>
      <c r="N617" s="18">
        <v>99.76</v>
      </c>
      <c r="P617" s="18" t="s">
        <v>31</v>
      </c>
      <c r="Q617" s="18" t="s">
        <v>58</v>
      </c>
      <c r="R617" s="20" t="s">
        <v>212</v>
      </c>
    </row>
    <row r="618" spans="1:18" x14ac:dyDescent="0.3">
      <c r="A618" s="18">
        <v>300</v>
      </c>
      <c r="B618" s="18">
        <v>800</v>
      </c>
      <c r="C618" s="18">
        <v>30</v>
      </c>
      <c r="D618" s="18">
        <v>120</v>
      </c>
      <c r="E618" s="18">
        <v>80</v>
      </c>
      <c r="H618" s="18">
        <f t="shared" si="12"/>
        <v>375</v>
      </c>
      <c r="I618" s="18">
        <v>70</v>
      </c>
      <c r="N618" s="18">
        <v>99.76</v>
      </c>
      <c r="P618" s="18" t="s">
        <v>31</v>
      </c>
      <c r="Q618" s="18" t="s">
        <v>58</v>
      </c>
      <c r="R618" s="20" t="s">
        <v>212</v>
      </c>
    </row>
    <row r="619" spans="1:18" x14ac:dyDescent="0.3">
      <c r="A619" s="18">
        <v>350</v>
      </c>
      <c r="B619" s="18">
        <v>900</v>
      </c>
      <c r="C619" s="18">
        <v>30</v>
      </c>
      <c r="D619" s="18">
        <v>130</v>
      </c>
      <c r="E619" s="18">
        <v>80</v>
      </c>
      <c r="H619" s="18">
        <f t="shared" si="12"/>
        <v>388.88888888888891</v>
      </c>
      <c r="I619" s="18">
        <v>104.16</v>
      </c>
      <c r="N619" s="18">
        <v>99.76</v>
      </c>
      <c r="P619" s="18" t="s">
        <v>31</v>
      </c>
      <c r="Q619" s="18" t="s">
        <v>58</v>
      </c>
      <c r="R619" s="20" t="s">
        <v>212</v>
      </c>
    </row>
    <row r="620" spans="1:18" x14ac:dyDescent="0.3">
      <c r="A620" s="18">
        <v>150</v>
      </c>
      <c r="B620" s="18">
        <v>600</v>
      </c>
      <c r="C620" s="18">
        <v>40</v>
      </c>
      <c r="D620" s="18">
        <v>80</v>
      </c>
      <c r="E620" s="18">
        <v>80</v>
      </c>
      <c r="G620" s="18">
        <v>67</v>
      </c>
      <c r="H620" s="18">
        <f t="shared" si="12"/>
        <v>250</v>
      </c>
      <c r="I620" s="18">
        <v>78.13</v>
      </c>
      <c r="J620" s="18" t="s">
        <v>22</v>
      </c>
      <c r="K620" s="18">
        <v>331.4</v>
      </c>
      <c r="N620" s="18">
        <v>99.97</v>
      </c>
      <c r="Q620" s="18" t="s">
        <v>32</v>
      </c>
      <c r="R620" s="20" t="s">
        <v>213</v>
      </c>
    </row>
    <row r="621" spans="1:18" x14ac:dyDescent="0.3">
      <c r="A621" s="18">
        <v>200</v>
      </c>
      <c r="B621" s="18">
        <v>750</v>
      </c>
      <c r="C621" s="18">
        <v>50</v>
      </c>
      <c r="D621" s="18">
        <v>100</v>
      </c>
      <c r="E621" s="18">
        <v>40</v>
      </c>
      <c r="G621" s="18">
        <v>90</v>
      </c>
      <c r="H621" s="18">
        <f t="shared" si="12"/>
        <v>266.66666666666669</v>
      </c>
      <c r="I621" s="18">
        <v>53</v>
      </c>
      <c r="J621" s="18" t="s">
        <v>23</v>
      </c>
      <c r="L621" s="18">
        <v>748</v>
      </c>
      <c r="N621" s="18">
        <v>98.5</v>
      </c>
      <c r="Q621" s="18" t="s">
        <v>58</v>
      </c>
      <c r="R621" s="20" t="s">
        <v>214</v>
      </c>
    </row>
    <row r="622" spans="1:18" x14ac:dyDescent="0.3">
      <c r="A622" s="18">
        <v>200</v>
      </c>
      <c r="B622" s="18">
        <v>700</v>
      </c>
      <c r="C622" s="18">
        <v>30</v>
      </c>
      <c r="D622" s="18">
        <v>80</v>
      </c>
      <c r="E622" s="18">
        <v>70</v>
      </c>
      <c r="F622" s="18" t="s">
        <v>64</v>
      </c>
      <c r="G622" s="18">
        <v>67</v>
      </c>
      <c r="H622" s="18">
        <v>285.71429999999998</v>
      </c>
      <c r="I622" s="18">
        <v>119</v>
      </c>
      <c r="L622" s="18">
        <v>496.7</v>
      </c>
      <c r="M622" s="18">
        <v>647.70000000000005</v>
      </c>
      <c r="O622" s="26" t="s">
        <v>215</v>
      </c>
      <c r="P622" s="18" t="s">
        <v>27</v>
      </c>
      <c r="Q622" s="18" t="s">
        <v>32</v>
      </c>
      <c r="R622" s="20" t="s">
        <v>216</v>
      </c>
    </row>
    <row r="623" spans="1:18" x14ac:dyDescent="0.3">
      <c r="A623" s="18">
        <v>200</v>
      </c>
      <c r="B623" s="18">
        <v>700</v>
      </c>
      <c r="C623" s="18">
        <v>30</v>
      </c>
      <c r="D623" s="18">
        <v>80</v>
      </c>
      <c r="E623" s="18">
        <v>70</v>
      </c>
      <c r="F623" s="18" t="s">
        <v>64</v>
      </c>
      <c r="G623" s="18">
        <v>67</v>
      </c>
      <c r="H623" s="18">
        <f t="shared" si="12"/>
        <v>285.71428571428572</v>
      </c>
      <c r="I623" s="18">
        <v>119</v>
      </c>
      <c r="L623" s="18">
        <v>831</v>
      </c>
      <c r="M623" s="18">
        <v>1111</v>
      </c>
      <c r="O623" s="26" t="s">
        <v>87</v>
      </c>
      <c r="P623" s="18" t="s">
        <v>39</v>
      </c>
      <c r="Q623" s="18" t="s">
        <v>58</v>
      </c>
      <c r="R623" s="20" t="s">
        <v>216</v>
      </c>
    </row>
    <row r="624" spans="1:18" x14ac:dyDescent="0.3">
      <c r="A624" s="18">
        <v>300</v>
      </c>
      <c r="B624" s="18">
        <v>900</v>
      </c>
      <c r="C624" s="18">
        <v>30</v>
      </c>
      <c r="D624" s="18">
        <v>80</v>
      </c>
      <c r="E624" s="18">
        <v>150</v>
      </c>
      <c r="G624" s="18">
        <v>90</v>
      </c>
      <c r="H624" s="18">
        <f t="shared" si="12"/>
        <v>333.33333333333331</v>
      </c>
      <c r="I624" s="18">
        <v>138.88999999999999</v>
      </c>
      <c r="K624" s="18">
        <v>228</v>
      </c>
      <c r="L624" s="18">
        <v>540.6</v>
      </c>
      <c r="M624" s="18">
        <v>639.03</v>
      </c>
      <c r="N624" s="18">
        <v>99.9</v>
      </c>
      <c r="O624" s="26" t="s">
        <v>217</v>
      </c>
      <c r="P624" s="18" t="s">
        <v>218</v>
      </c>
      <c r="Q624" s="18" t="s">
        <v>32</v>
      </c>
      <c r="R624" s="20" t="s">
        <v>219</v>
      </c>
    </row>
    <row r="625" spans="1:18" x14ac:dyDescent="0.3">
      <c r="A625" s="18">
        <v>300</v>
      </c>
      <c r="C625" s="18">
        <v>30</v>
      </c>
      <c r="E625" s="18">
        <v>80</v>
      </c>
      <c r="F625" s="18" t="s">
        <v>182</v>
      </c>
      <c r="G625" s="18">
        <v>67</v>
      </c>
      <c r="I625" s="18">
        <v>66</v>
      </c>
      <c r="L625" s="18">
        <v>100</v>
      </c>
      <c r="M625" s="18">
        <v>90</v>
      </c>
      <c r="N625" s="18">
        <v>99.54</v>
      </c>
      <c r="O625" s="26" t="s">
        <v>220</v>
      </c>
      <c r="P625" s="18" t="s">
        <v>39</v>
      </c>
      <c r="Q625" s="18" t="s">
        <v>32</v>
      </c>
      <c r="R625" s="20" t="s">
        <v>221</v>
      </c>
    </row>
    <row r="626" spans="1:18" x14ac:dyDescent="0.3">
      <c r="A626" s="18">
        <v>220</v>
      </c>
      <c r="B626" s="18">
        <v>750</v>
      </c>
      <c r="C626" s="18">
        <v>20</v>
      </c>
      <c r="D626" s="18">
        <v>80</v>
      </c>
      <c r="H626" s="18">
        <f>((A626/B626)*1000)</f>
        <v>293.33333333333331</v>
      </c>
      <c r="I626" s="18">
        <v>183.33</v>
      </c>
      <c r="L626" s="18">
        <v>450</v>
      </c>
      <c r="M626" s="18">
        <v>553.70000000000005</v>
      </c>
      <c r="Q626" s="18" t="s">
        <v>58</v>
      </c>
      <c r="R626" s="20" t="s">
        <v>222</v>
      </c>
    </row>
    <row r="627" spans="1:18" x14ac:dyDescent="0.3">
      <c r="A627" s="18">
        <v>200</v>
      </c>
      <c r="B627" s="18">
        <v>1000</v>
      </c>
      <c r="C627" s="18">
        <v>30</v>
      </c>
      <c r="D627" s="18">
        <v>110</v>
      </c>
      <c r="H627" s="18">
        <f t="shared" ref="H627:H660" si="13">((A627/B627)*1000)</f>
        <v>200</v>
      </c>
      <c r="I627" s="18">
        <v>60.61</v>
      </c>
      <c r="J627" s="18" t="s">
        <v>19</v>
      </c>
      <c r="L627" s="18">
        <v>495</v>
      </c>
      <c r="M627" s="18">
        <v>591</v>
      </c>
      <c r="P627" s="18" t="s">
        <v>218</v>
      </c>
      <c r="Q627" s="18" t="s">
        <v>32</v>
      </c>
      <c r="R627" s="20" t="s">
        <v>223</v>
      </c>
    </row>
    <row r="628" spans="1:18" x14ac:dyDescent="0.3">
      <c r="A628" s="18">
        <v>370</v>
      </c>
      <c r="B628" s="18">
        <v>1350</v>
      </c>
      <c r="C628" s="18">
        <v>50</v>
      </c>
      <c r="D628" s="18">
        <v>90</v>
      </c>
      <c r="E628" s="18">
        <v>72</v>
      </c>
      <c r="F628" s="18" t="s">
        <v>18</v>
      </c>
      <c r="G628" s="18">
        <v>67</v>
      </c>
      <c r="H628" s="18">
        <f t="shared" si="13"/>
        <v>274.07407407407408</v>
      </c>
      <c r="I628" s="18">
        <v>60.9</v>
      </c>
      <c r="O628" s="26" t="s">
        <v>224</v>
      </c>
      <c r="P628" s="18" t="s">
        <v>218</v>
      </c>
      <c r="Q628" s="18" t="s">
        <v>58</v>
      </c>
      <c r="R628" s="20" t="s">
        <v>227</v>
      </c>
    </row>
    <row r="629" spans="1:18" x14ac:dyDescent="0.3">
      <c r="A629" s="18">
        <v>370</v>
      </c>
      <c r="B629" s="18">
        <v>1350</v>
      </c>
      <c r="C629" s="18">
        <v>50</v>
      </c>
      <c r="D629" s="18">
        <v>90</v>
      </c>
      <c r="E629" s="18">
        <v>72</v>
      </c>
      <c r="F629" s="18" t="s">
        <v>64</v>
      </c>
      <c r="G629" s="18">
        <v>67</v>
      </c>
      <c r="H629" s="18">
        <f t="shared" si="13"/>
        <v>274.07407407407408</v>
      </c>
      <c r="I629" s="18">
        <v>60.9</v>
      </c>
      <c r="O629" s="26" t="s">
        <v>225</v>
      </c>
      <c r="P629" s="18" t="s">
        <v>71</v>
      </c>
      <c r="Q629" s="18" t="s">
        <v>58</v>
      </c>
      <c r="R629" s="20" t="s">
        <v>227</v>
      </c>
    </row>
    <row r="630" spans="1:18" x14ac:dyDescent="0.3">
      <c r="A630" s="18">
        <v>370</v>
      </c>
      <c r="B630" s="18">
        <v>1350</v>
      </c>
      <c r="C630" s="18">
        <v>50</v>
      </c>
      <c r="D630" s="18">
        <v>90</v>
      </c>
      <c r="E630" s="18">
        <v>72</v>
      </c>
      <c r="F630" s="18" t="s">
        <v>24</v>
      </c>
      <c r="G630" s="18">
        <v>67</v>
      </c>
      <c r="H630" s="18">
        <f t="shared" si="13"/>
        <v>274.07407407407408</v>
      </c>
      <c r="I630" s="18">
        <v>60.9</v>
      </c>
      <c r="O630" s="26" t="s">
        <v>226</v>
      </c>
      <c r="P630" s="18" t="s">
        <v>71</v>
      </c>
      <c r="Q630" s="18" t="s">
        <v>58</v>
      </c>
      <c r="R630" s="20" t="s">
        <v>227</v>
      </c>
    </row>
    <row r="631" spans="1:18" x14ac:dyDescent="0.3">
      <c r="A631" s="18">
        <v>300</v>
      </c>
      <c r="B631" s="18">
        <v>1000</v>
      </c>
      <c r="C631" s="18">
        <v>50</v>
      </c>
      <c r="D631" s="18">
        <v>100</v>
      </c>
      <c r="G631" s="18">
        <v>67</v>
      </c>
      <c r="H631" s="18">
        <f t="shared" si="13"/>
        <v>300</v>
      </c>
      <c r="I631" s="18">
        <v>60</v>
      </c>
      <c r="L631" s="18">
        <v>488.28</v>
      </c>
      <c r="M631" s="18">
        <v>791.3</v>
      </c>
      <c r="P631" s="18" t="s">
        <v>39</v>
      </c>
      <c r="Q631" s="18" t="s">
        <v>58</v>
      </c>
      <c r="R631" s="20" t="s">
        <v>228</v>
      </c>
    </row>
    <row r="632" spans="1:18" x14ac:dyDescent="0.3">
      <c r="A632" s="18">
        <v>90</v>
      </c>
      <c r="B632" s="18">
        <v>1000</v>
      </c>
      <c r="C632" s="18">
        <v>30</v>
      </c>
      <c r="D632" s="18">
        <v>40</v>
      </c>
      <c r="E632" s="18">
        <v>22</v>
      </c>
      <c r="F632" s="18" t="s">
        <v>182</v>
      </c>
      <c r="G632" s="18">
        <v>45</v>
      </c>
      <c r="H632" s="18">
        <f t="shared" si="13"/>
        <v>90</v>
      </c>
      <c r="I632" s="18">
        <v>75</v>
      </c>
      <c r="J632" s="18" t="s">
        <v>23</v>
      </c>
      <c r="L632" s="18">
        <v>425</v>
      </c>
      <c r="P632" s="18" t="s">
        <v>71</v>
      </c>
      <c r="Q632" s="18" t="s">
        <v>58</v>
      </c>
      <c r="R632" s="20" t="s">
        <v>229</v>
      </c>
    </row>
    <row r="633" spans="1:18" x14ac:dyDescent="0.3">
      <c r="A633" s="18">
        <v>90</v>
      </c>
      <c r="B633" s="18">
        <v>1000</v>
      </c>
      <c r="C633" s="18">
        <v>30</v>
      </c>
      <c r="D633" s="18">
        <v>40</v>
      </c>
      <c r="E633" s="18">
        <v>45</v>
      </c>
      <c r="F633" s="18" t="s">
        <v>182</v>
      </c>
      <c r="G633" s="18">
        <v>45</v>
      </c>
      <c r="H633" s="18">
        <f t="shared" si="13"/>
        <v>90</v>
      </c>
      <c r="I633" s="18">
        <v>75</v>
      </c>
      <c r="J633" s="18" t="s">
        <v>23</v>
      </c>
      <c r="L633" s="18">
        <v>483</v>
      </c>
      <c r="P633" s="18" t="s">
        <v>71</v>
      </c>
      <c r="Q633" s="18" t="s">
        <v>58</v>
      </c>
      <c r="R633" s="20" t="s">
        <v>229</v>
      </c>
    </row>
    <row r="634" spans="1:18" x14ac:dyDescent="0.3">
      <c r="A634" s="18">
        <v>90</v>
      </c>
      <c r="B634" s="18">
        <v>1000</v>
      </c>
      <c r="C634" s="18">
        <v>30</v>
      </c>
      <c r="D634" s="18">
        <v>40</v>
      </c>
      <c r="E634" s="18">
        <v>65</v>
      </c>
      <c r="F634" s="18" t="s">
        <v>182</v>
      </c>
      <c r="G634" s="18">
        <v>45</v>
      </c>
      <c r="H634" s="18">
        <f t="shared" si="13"/>
        <v>90</v>
      </c>
      <c r="I634" s="18">
        <v>75</v>
      </c>
      <c r="J634" s="18" t="s">
        <v>23</v>
      </c>
      <c r="L634" s="18">
        <v>496</v>
      </c>
      <c r="P634" s="18" t="s">
        <v>71</v>
      </c>
      <c r="Q634" s="18" t="s">
        <v>58</v>
      </c>
      <c r="R634" s="20" t="s">
        <v>229</v>
      </c>
    </row>
    <row r="635" spans="1:18" x14ac:dyDescent="0.3">
      <c r="A635" s="18">
        <v>90</v>
      </c>
      <c r="B635" s="18">
        <v>1400</v>
      </c>
      <c r="C635" s="18">
        <v>30</v>
      </c>
      <c r="D635" s="18">
        <v>40</v>
      </c>
      <c r="E635" s="18">
        <v>22</v>
      </c>
      <c r="F635" s="18" t="s">
        <v>182</v>
      </c>
      <c r="G635" s="18">
        <v>45</v>
      </c>
      <c r="H635" s="18">
        <f t="shared" si="13"/>
        <v>64.285714285714278</v>
      </c>
      <c r="I635" s="18">
        <v>53.6</v>
      </c>
      <c r="J635" s="18" t="s">
        <v>23</v>
      </c>
      <c r="L635" s="18">
        <v>355</v>
      </c>
      <c r="P635" s="18" t="s">
        <v>71</v>
      </c>
      <c r="Q635" s="18" t="s">
        <v>58</v>
      </c>
      <c r="R635" s="20" t="s">
        <v>229</v>
      </c>
    </row>
    <row r="636" spans="1:18" x14ac:dyDescent="0.3">
      <c r="A636" s="18">
        <v>90</v>
      </c>
      <c r="B636" s="18">
        <v>1400</v>
      </c>
      <c r="C636" s="18">
        <v>30</v>
      </c>
      <c r="D636" s="18">
        <v>40</v>
      </c>
      <c r="E636" s="18">
        <v>45</v>
      </c>
      <c r="F636" s="18" t="s">
        <v>182</v>
      </c>
      <c r="G636" s="18">
        <v>45</v>
      </c>
      <c r="H636" s="18">
        <f t="shared" si="13"/>
        <v>64.285714285714278</v>
      </c>
      <c r="I636" s="18">
        <v>53.6</v>
      </c>
      <c r="J636" s="18" t="s">
        <v>23</v>
      </c>
      <c r="L636" s="18">
        <v>454</v>
      </c>
      <c r="P636" s="18" t="s">
        <v>71</v>
      </c>
      <c r="Q636" s="18" t="s">
        <v>58</v>
      </c>
      <c r="R636" s="20" t="s">
        <v>229</v>
      </c>
    </row>
    <row r="637" spans="1:18" x14ac:dyDescent="0.3">
      <c r="A637" s="18">
        <v>90</v>
      </c>
      <c r="B637" s="18">
        <v>1400</v>
      </c>
      <c r="C637" s="18">
        <v>30</v>
      </c>
      <c r="D637" s="18">
        <v>40</v>
      </c>
      <c r="E637" s="18">
        <v>65</v>
      </c>
      <c r="F637" s="18" t="s">
        <v>182</v>
      </c>
      <c r="G637" s="18">
        <v>45</v>
      </c>
      <c r="H637" s="18">
        <f t="shared" si="13"/>
        <v>64.285714285714278</v>
      </c>
      <c r="I637" s="18">
        <v>53.6</v>
      </c>
      <c r="J637" s="18" t="s">
        <v>23</v>
      </c>
      <c r="L637" s="18">
        <v>465</v>
      </c>
      <c r="P637" s="18" t="s">
        <v>71</v>
      </c>
      <c r="Q637" s="18" t="s">
        <v>58</v>
      </c>
      <c r="R637" s="20" t="s">
        <v>229</v>
      </c>
    </row>
    <row r="638" spans="1:18" x14ac:dyDescent="0.3">
      <c r="A638" s="18">
        <v>130</v>
      </c>
      <c r="B638" s="18">
        <v>600</v>
      </c>
      <c r="C638" s="18">
        <v>30</v>
      </c>
      <c r="D638" s="18">
        <v>40</v>
      </c>
      <c r="E638" s="18">
        <v>22</v>
      </c>
      <c r="F638" s="18" t="s">
        <v>182</v>
      </c>
      <c r="G638" s="18">
        <v>45</v>
      </c>
      <c r="H638" s="18">
        <f t="shared" si="13"/>
        <v>216.66666666666669</v>
      </c>
      <c r="I638" s="18">
        <v>180.5</v>
      </c>
      <c r="J638" s="18" t="s">
        <v>23</v>
      </c>
      <c r="L638" s="18">
        <v>495</v>
      </c>
      <c r="P638" s="18" t="s">
        <v>71</v>
      </c>
      <c r="Q638" s="18" t="s">
        <v>58</v>
      </c>
      <c r="R638" s="20" t="s">
        <v>229</v>
      </c>
    </row>
    <row r="639" spans="1:18" x14ac:dyDescent="0.3">
      <c r="A639" s="18">
        <v>110</v>
      </c>
      <c r="B639" s="18">
        <v>1000</v>
      </c>
      <c r="C639" s="18">
        <v>30</v>
      </c>
      <c r="D639" s="18">
        <v>40</v>
      </c>
      <c r="E639" s="18">
        <v>45</v>
      </c>
      <c r="F639" s="18" t="s">
        <v>182</v>
      </c>
      <c r="G639" s="18">
        <v>45</v>
      </c>
      <c r="H639" s="18">
        <f t="shared" si="13"/>
        <v>110</v>
      </c>
      <c r="I639" s="18">
        <v>91.7</v>
      </c>
      <c r="J639" s="18" t="s">
        <v>23</v>
      </c>
      <c r="L639" s="18">
        <v>486</v>
      </c>
      <c r="P639" s="18" t="s">
        <v>71</v>
      </c>
      <c r="Q639" s="18" t="s">
        <v>58</v>
      </c>
      <c r="R639" s="20" t="s">
        <v>229</v>
      </c>
    </row>
    <row r="640" spans="1:18" x14ac:dyDescent="0.3">
      <c r="A640" s="18">
        <v>120</v>
      </c>
      <c r="B640" s="18">
        <v>1400</v>
      </c>
      <c r="C640" s="18">
        <v>30</v>
      </c>
      <c r="D640" s="18">
        <v>40</v>
      </c>
      <c r="E640" s="18">
        <v>65</v>
      </c>
      <c r="F640" s="18" t="s">
        <v>182</v>
      </c>
      <c r="G640" s="18">
        <v>45</v>
      </c>
      <c r="H640" s="18">
        <f t="shared" si="13"/>
        <v>85.714285714285708</v>
      </c>
      <c r="I640" s="18">
        <v>71.400000000000006</v>
      </c>
      <c r="J640" s="18" t="s">
        <v>23</v>
      </c>
      <c r="L640" s="18">
        <v>526</v>
      </c>
      <c r="P640" s="18" t="s">
        <v>71</v>
      </c>
      <c r="Q640" s="18" t="s">
        <v>58</v>
      </c>
      <c r="R640" s="20" t="s">
        <v>229</v>
      </c>
    </row>
    <row r="641" spans="1:18" x14ac:dyDescent="0.3">
      <c r="A641" s="18">
        <v>370</v>
      </c>
      <c r="B641" s="18">
        <v>1350</v>
      </c>
      <c r="C641" s="18">
        <v>50</v>
      </c>
      <c r="D641" s="18">
        <v>90</v>
      </c>
      <c r="E641" s="18">
        <v>130</v>
      </c>
      <c r="H641" s="18">
        <f t="shared" si="13"/>
        <v>274.07407407407408</v>
      </c>
      <c r="I641" s="18">
        <v>60.7</v>
      </c>
      <c r="L641" s="18">
        <v>430.8</v>
      </c>
      <c r="M641" s="18">
        <v>593.1</v>
      </c>
      <c r="O641" s="26" t="s">
        <v>230</v>
      </c>
      <c r="P641" s="18" t="s">
        <v>89</v>
      </c>
      <c r="Q641" s="18" t="s">
        <v>58</v>
      </c>
      <c r="R641" s="20" t="s">
        <v>231</v>
      </c>
    </row>
    <row r="642" spans="1:18" x14ac:dyDescent="0.3">
      <c r="A642" s="18">
        <v>370</v>
      </c>
      <c r="B642" s="18">
        <v>1350</v>
      </c>
      <c r="C642" s="18">
        <v>50</v>
      </c>
      <c r="D642" s="18">
        <v>90</v>
      </c>
      <c r="E642" s="18">
        <v>130</v>
      </c>
      <c r="H642" s="18">
        <f t="shared" si="13"/>
        <v>274.07407407407408</v>
      </c>
      <c r="I642" s="18">
        <v>60.7</v>
      </c>
      <c r="L642" s="18">
        <v>385.1</v>
      </c>
      <c r="M642" s="18">
        <v>594.70000000000005</v>
      </c>
      <c r="O642" s="26" t="s">
        <v>230</v>
      </c>
      <c r="P642" s="18" t="s">
        <v>89</v>
      </c>
      <c r="Q642" s="18" t="s">
        <v>58</v>
      </c>
      <c r="R642" s="20" t="s">
        <v>231</v>
      </c>
    </row>
    <row r="643" spans="1:18" x14ac:dyDescent="0.3">
      <c r="A643" s="18">
        <v>370</v>
      </c>
      <c r="B643" s="18">
        <v>1350</v>
      </c>
      <c r="C643" s="18">
        <v>50</v>
      </c>
      <c r="D643" s="18">
        <v>90</v>
      </c>
      <c r="E643" s="18">
        <v>130</v>
      </c>
      <c r="H643" s="18">
        <f t="shared" si="13"/>
        <v>274.07407407407408</v>
      </c>
      <c r="I643" s="18">
        <v>60.7</v>
      </c>
      <c r="L643" s="18">
        <v>308.2</v>
      </c>
      <c r="M643" s="18">
        <v>584.1</v>
      </c>
      <c r="O643" s="26" t="s">
        <v>230</v>
      </c>
      <c r="P643" s="18" t="s">
        <v>89</v>
      </c>
      <c r="Q643" s="18" t="s">
        <v>58</v>
      </c>
      <c r="R643" s="20" t="s">
        <v>231</v>
      </c>
    </row>
    <row r="644" spans="1:18" x14ac:dyDescent="0.3">
      <c r="A644" s="18">
        <v>180</v>
      </c>
      <c r="B644" s="18">
        <v>1000</v>
      </c>
      <c r="C644" s="18">
        <v>30</v>
      </c>
      <c r="D644" s="18">
        <v>60</v>
      </c>
      <c r="E644" s="18">
        <v>40</v>
      </c>
      <c r="F644" s="18" t="s">
        <v>18</v>
      </c>
      <c r="H644" s="18">
        <f t="shared" si="13"/>
        <v>180</v>
      </c>
      <c r="I644" s="18">
        <v>100</v>
      </c>
      <c r="R644" s="20" t="s">
        <v>232</v>
      </c>
    </row>
    <row r="645" spans="1:18" x14ac:dyDescent="0.3">
      <c r="A645" s="18">
        <v>90</v>
      </c>
      <c r="B645" s="18">
        <v>600</v>
      </c>
      <c r="C645" s="18">
        <v>20</v>
      </c>
      <c r="D645" s="18">
        <v>90</v>
      </c>
      <c r="G645" s="18">
        <v>90</v>
      </c>
      <c r="H645" s="18">
        <f t="shared" si="13"/>
        <v>150</v>
      </c>
      <c r="I645" s="18">
        <v>83.3</v>
      </c>
      <c r="K645" s="18">
        <v>230.2</v>
      </c>
      <c r="M645" s="18">
        <v>646.26</v>
      </c>
      <c r="N645" s="18">
        <v>99</v>
      </c>
      <c r="O645" s="26" t="s">
        <v>233</v>
      </c>
      <c r="P645" s="18" t="s">
        <v>39</v>
      </c>
      <c r="Q645" s="18" t="s">
        <v>32</v>
      </c>
      <c r="R645" s="20" t="s">
        <v>234</v>
      </c>
    </row>
    <row r="646" spans="1:18" x14ac:dyDescent="0.3">
      <c r="A646" s="18">
        <v>90</v>
      </c>
      <c r="B646" s="18">
        <v>600</v>
      </c>
      <c r="C646" s="18">
        <v>20</v>
      </c>
      <c r="D646" s="18">
        <v>90</v>
      </c>
      <c r="G646" s="18">
        <v>90</v>
      </c>
      <c r="H646" s="18">
        <f t="shared" si="13"/>
        <v>150</v>
      </c>
      <c r="I646" s="18">
        <v>83.3</v>
      </c>
      <c r="K646" s="18">
        <v>332.8</v>
      </c>
      <c r="N646" s="18">
        <v>99</v>
      </c>
      <c r="P646" s="18" t="s">
        <v>39</v>
      </c>
      <c r="Q646" s="18" t="s">
        <v>32</v>
      </c>
      <c r="R646" s="20" t="s">
        <v>234</v>
      </c>
    </row>
    <row r="647" spans="1:18" x14ac:dyDescent="0.3">
      <c r="A647" s="18">
        <v>90</v>
      </c>
      <c r="B647" s="18">
        <v>600</v>
      </c>
      <c r="C647" s="18">
        <v>20</v>
      </c>
      <c r="D647" s="18">
        <v>90</v>
      </c>
      <c r="G647" s="18">
        <v>90</v>
      </c>
      <c r="H647" s="18">
        <f t="shared" si="13"/>
        <v>150</v>
      </c>
      <c r="I647" s="18">
        <v>83.3</v>
      </c>
      <c r="K647" s="18">
        <v>423.2</v>
      </c>
      <c r="N647" s="18">
        <v>99</v>
      </c>
      <c r="P647" s="18" t="s">
        <v>39</v>
      </c>
      <c r="Q647" s="18" t="s">
        <v>32</v>
      </c>
      <c r="R647" s="20" t="s">
        <v>234</v>
      </c>
    </row>
    <row r="648" spans="1:18" x14ac:dyDescent="0.3">
      <c r="A648" s="18">
        <v>90</v>
      </c>
      <c r="B648" s="18">
        <v>600</v>
      </c>
      <c r="C648" s="18">
        <v>20</v>
      </c>
      <c r="D648" s="18">
        <v>90</v>
      </c>
      <c r="G648" s="18">
        <v>90</v>
      </c>
      <c r="H648" s="18">
        <f t="shared" si="13"/>
        <v>150</v>
      </c>
      <c r="I648" s="18">
        <v>83.3</v>
      </c>
      <c r="K648" s="18">
        <v>449.2</v>
      </c>
      <c r="M648" s="18">
        <v>1436.41</v>
      </c>
      <c r="N648" s="18">
        <v>99</v>
      </c>
      <c r="O648" s="26" t="s">
        <v>233</v>
      </c>
      <c r="P648" s="18" t="s">
        <v>39</v>
      </c>
      <c r="Q648" s="18" t="s">
        <v>32</v>
      </c>
      <c r="R648" s="20" t="s">
        <v>234</v>
      </c>
    </row>
    <row r="649" spans="1:18" x14ac:dyDescent="0.3">
      <c r="A649" s="18">
        <v>180</v>
      </c>
      <c r="B649" s="18">
        <v>1000</v>
      </c>
      <c r="C649" s="18">
        <v>30</v>
      </c>
      <c r="D649" s="18">
        <v>60</v>
      </c>
      <c r="E649" s="18">
        <v>40</v>
      </c>
      <c r="F649" s="18" t="s">
        <v>18</v>
      </c>
      <c r="G649" s="18">
        <v>67</v>
      </c>
      <c r="H649" s="18">
        <f t="shared" si="13"/>
        <v>180</v>
      </c>
      <c r="I649" s="18">
        <v>100</v>
      </c>
      <c r="O649" s="26" t="s">
        <v>235</v>
      </c>
      <c r="P649" s="18" t="s">
        <v>39</v>
      </c>
      <c r="Q649" s="18" t="s">
        <v>32</v>
      </c>
      <c r="R649" s="20" t="s">
        <v>237</v>
      </c>
    </row>
    <row r="650" spans="1:18" x14ac:dyDescent="0.3">
      <c r="A650" s="18">
        <v>180</v>
      </c>
      <c r="B650" s="18">
        <v>1000</v>
      </c>
      <c r="C650" s="18">
        <v>30</v>
      </c>
      <c r="D650" s="18">
        <v>60</v>
      </c>
      <c r="E650" s="18">
        <v>40</v>
      </c>
      <c r="F650" s="18" t="s">
        <v>18</v>
      </c>
      <c r="G650" s="18">
        <v>67</v>
      </c>
      <c r="H650" s="18">
        <f t="shared" si="13"/>
        <v>180</v>
      </c>
      <c r="I650" s="18">
        <v>100</v>
      </c>
      <c r="O650" s="26" t="s">
        <v>236</v>
      </c>
      <c r="P650" s="18" t="s">
        <v>27</v>
      </c>
      <c r="Q650" s="18" t="s">
        <v>58</v>
      </c>
      <c r="R650" s="20" t="s">
        <v>237</v>
      </c>
    </row>
    <row r="651" spans="1:18" x14ac:dyDescent="0.3">
      <c r="A651" s="18">
        <v>350</v>
      </c>
      <c r="B651" s="18">
        <v>800</v>
      </c>
      <c r="C651" s="18">
        <v>50</v>
      </c>
      <c r="D651" s="18">
        <v>70</v>
      </c>
      <c r="G651" s="18">
        <v>67</v>
      </c>
      <c r="H651" s="18">
        <f t="shared" si="13"/>
        <v>437.5</v>
      </c>
      <c r="I651" s="18">
        <v>125</v>
      </c>
      <c r="M651" s="18">
        <v>439.89</v>
      </c>
      <c r="O651" s="26" t="s">
        <v>148</v>
      </c>
      <c r="P651" s="18" t="s">
        <v>39</v>
      </c>
      <c r="Q651" s="18" t="s">
        <v>58</v>
      </c>
      <c r="R651" s="20" t="s">
        <v>238</v>
      </c>
    </row>
    <row r="652" spans="1:18" x14ac:dyDescent="0.3">
      <c r="A652" s="18">
        <v>250</v>
      </c>
      <c r="B652" s="18">
        <v>600</v>
      </c>
      <c r="C652" s="18">
        <v>40</v>
      </c>
      <c r="D652" s="18">
        <v>80</v>
      </c>
      <c r="F652" s="18" t="s">
        <v>182</v>
      </c>
      <c r="G652" s="18">
        <v>0</v>
      </c>
      <c r="H652" s="18">
        <f t="shared" si="13"/>
        <v>416.66666666666669</v>
      </c>
      <c r="I652" s="18">
        <v>130.19999999999999</v>
      </c>
      <c r="P652" s="18" t="s">
        <v>27</v>
      </c>
      <c r="Q652" s="18" t="s">
        <v>58</v>
      </c>
      <c r="R652" s="20" t="s">
        <v>239</v>
      </c>
    </row>
    <row r="653" spans="1:18" x14ac:dyDescent="0.3">
      <c r="A653" s="18">
        <v>400</v>
      </c>
      <c r="B653" s="18">
        <v>500</v>
      </c>
      <c r="F653" s="18" t="s">
        <v>34</v>
      </c>
      <c r="G653" s="18">
        <v>90</v>
      </c>
      <c r="H653" s="18">
        <f t="shared" si="13"/>
        <v>800</v>
      </c>
      <c r="I653" s="18">
        <v>160</v>
      </c>
      <c r="K653" s="18">
        <v>290</v>
      </c>
      <c r="L653" s="18">
        <v>650</v>
      </c>
      <c r="M653" s="18">
        <v>1105</v>
      </c>
      <c r="N653" s="18">
        <v>96</v>
      </c>
      <c r="P653" s="18" t="s">
        <v>27</v>
      </c>
      <c r="Q653" s="18" t="s">
        <v>58</v>
      </c>
      <c r="R653" s="20" t="s">
        <v>240</v>
      </c>
    </row>
    <row r="654" spans="1:18" x14ac:dyDescent="0.3">
      <c r="A654" s="18">
        <v>400</v>
      </c>
      <c r="B654" s="18">
        <v>1000</v>
      </c>
      <c r="F654" s="18" t="s">
        <v>34</v>
      </c>
      <c r="G654" s="18">
        <v>90</v>
      </c>
      <c r="H654" s="18">
        <f t="shared" si="13"/>
        <v>400</v>
      </c>
      <c r="I654" s="18">
        <v>80</v>
      </c>
      <c r="K654" s="18">
        <v>290</v>
      </c>
      <c r="L654" s="18">
        <v>650</v>
      </c>
      <c r="M654" s="18">
        <v>1105</v>
      </c>
      <c r="N654" s="18">
        <v>96</v>
      </c>
      <c r="P654" s="18" t="s">
        <v>27</v>
      </c>
      <c r="Q654" s="18" t="s">
        <v>58</v>
      </c>
      <c r="R654" s="20" t="s">
        <v>240</v>
      </c>
    </row>
    <row r="655" spans="1:18" x14ac:dyDescent="0.3">
      <c r="A655" s="18">
        <v>400</v>
      </c>
      <c r="B655" s="18">
        <v>500</v>
      </c>
      <c r="F655" s="18" t="s">
        <v>38</v>
      </c>
      <c r="G655" s="18">
        <v>90</v>
      </c>
      <c r="H655" s="18">
        <f t="shared" si="13"/>
        <v>800</v>
      </c>
      <c r="I655" s="18">
        <v>160</v>
      </c>
      <c r="K655" s="18">
        <v>290</v>
      </c>
      <c r="L655" s="18">
        <v>650</v>
      </c>
      <c r="M655" s="18">
        <v>1105</v>
      </c>
      <c r="N655" s="18">
        <v>96</v>
      </c>
      <c r="P655" s="18" t="s">
        <v>27</v>
      </c>
      <c r="Q655" s="18" t="s">
        <v>58</v>
      </c>
      <c r="R655" s="20" t="s">
        <v>240</v>
      </c>
    </row>
    <row r="656" spans="1:18" x14ac:dyDescent="0.3">
      <c r="A656" s="18">
        <v>400</v>
      </c>
      <c r="B656" s="18">
        <v>1000</v>
      </c>
      <c r="F656" s="18" t="s">
        <v>38</v>
      </c>
      <c r="G656" s="18">
        <v>90</v>
      </c>
      <c r="H656" s="18">
        <f t="shared" si="13"/>
        <v>400</v>
      </c>
      <c r="I656" s="18">
        <v>80</v>
      </c>
      <c r="K656" s="18">
        <v>290</v>
      </c>
      <c r="L656" s="18">
        <v>650</v>
      </c>
      <c r="M656" s="18">
        <v>1105</v>
      </c>
      <c r="N656" s="18">
        <v>96</v>
      </c>
      <c r="P656" s="18" t="s">
        <v>27</v>
      </c>
      <c r="Q656" s="18" t="s">
        <v>58</v>
      </c>
      <c r="R656" s="20" t="s">
        <v>240</v>
      </c>
    </row>
    <row r="657" spans="1:18" x14ac:dyDescent="0.3">
      <c r="A657" s="18">
        <v>400</v>
      </c>
      <c r="B657" s="18">
        <v>500</v>
      </c>
      <c r="F657" s="18" t="s">
        <v>40</v>
      </c>
      <c r="H657" s="18">
        <f t="shared" si="13"/>
        <v>800</v>
      </c>
      <c r="I657" s="18">
        <v>160</v>
      </c>
      <c r="K657" s="18">
        <v>290</v>
      </c>
      <c r="L657" s="18">
        <v>650</v>
      </c>
      <c r="M657" s="18">
        <v>1105</v>
      </c>
      <c r="N657" s="18">
        <v>96</v>
      </c>
      <c r="P657" s="18" t="s">
        <v>27</v>
      </c>
      <c r="Q657" s="18" t="s">
        <v>58</v>
      </c>
      <c r="R657" s="20" t="s">
        <v>240</v>
      </c>
    </row>
    <row r="658" spans="1:18" x14ac:dyDescent="0.3">
      <c r="A658" s="18">
        <v>400</v>
      </c>
      <c r="B658" s="18">
        <v>1000</v>
      </c>
      <c r="F658" s="18" t="s">
        <v>40</v>
      </c>
      <c r="H658" s="18">
        <f t="shared" si="13"/>
        <v>400</v>
      </c>
      <c r="I658" s="18">
        <v>80</v>
      </c>
      <c r="K658" s="18">
        <v>290</v>
      </c>
      <c r="L658" s="18">
        <v>650</v>
      </c>
      <c r="M658" s="18">
        <v>1105</v>
      </c>
      <c r="N658" s="18">
        <v>96</v>
      </c>
      <c r="P658" s="18" t="s">
        <v>27</v>
      </c>
      <c r="Q658" s="18" t="s">
        <v>58</v>
      </c>
      <c r="R658" s="20" t="s">
        <v>240</v>
      </c>
    </row>
    <row r="659" spans="1:18" x14ac:dyDescent="0.3">
      <c r="A659" s="18">
        <v>200</v>
      </c>
      <c r="B659" s="18">
        <v>800</v>
      </c>
      <c r="C659" s="18">
        <v>30</v>
      </c>
      <c r="D659" s="18">
        <v>120</v>
      </c>
      <c r="F659" s="18" t="s">
        <v>18</v>
      </c>
      <c r="G659" s="18">
        <v>60</v>
      </c>
      <c r="H659" s="18">
        <f t="shared" si="13"/>
        <v>250</v>
      </c>
      <c r="I659" s="18">
        <v>69.44</v>
      </c>
      <c r="K659" s="18" t="s">
        <v>241</v>
      </c>
      <c r="L659" s="18" t="s">
        <v>242</v>
      </c>
      <c r="M659" s="18" t="s">
        <v>243</v>
      </c>
      <c r="O659" s="26" t="s">
        <v>244</v>
      </c>
      <c r="P659" s="18" t="s">
        <v>39</v>
      </c>
      <c r="R659" s="20" t="s">
        <v>245</v>
      </c>
    </row>
    <row r="660" spans="1:18" x14ac:dyDescent="0.3">
      <c r="A660" s="18">
        <v>77.099999999999994</v>
      </c>
      <c r="B660" s="18">
        <v>827</v>
      </c>
      <c r="C660" s="18">
        <v>20</v>
      </c>
      <c r="D660" s="18">
        <v>70</v>
      </c>
      <c r="H660" s="18">
        <f t="shared" si="13"/>
        <v>93.228536880290207</v>
      </c>
      <c r="I660" s="18">
        <v>67</v>
      </c>
      <c r="K660" s="18">
        <v>239</v>
      </c>
      <c r="L660" s="18">
        <v>504</v>
      </c>
      <c r="M660" s="18">
        <v>612</v>
      </c>
      <c r="N660" s="18">
        <v>99.6</v>
      </c>
      <c r="O660" s="26" t="s">
        <v>173</v>
      </c>
      <c r="P660" s="18" t="s">
        <v>218</v>
      </c>
      <c r="Q660" s="18" t="s">
        <v>58</v>
      </c>
      <c r="R660" s="20" t="s">
        <v>246</v>
      </c>
    </row>
    <row r="661" spans="1:18" x14ac:dyDescent="0.3">
      <c r="A661" s="18">
        <v>200</v>
      </c>
      <c r="E661" s="18">
        <v>70</v>
      </c>
      <c r="L661" s="18">
        <v>596</v>
      </c>
      <c r="M661" s="18">
        <v>763</v>
      </c>
      <c r="P661" s="18" t="s">
        <v>39</v>
      </c>
      <c r="Q661" s="18" t="s">
        <v>32</v>
      </c>
      <c r="R661" t="s">
        <v>247</v>
      </c>
    </row>
    <row r="662" spans="1:18" x14ac:dyDescent="0.3">
      <c r="A662" s="18">
        <v>200</v>
      </c>
      <c r="E662" s="18">
        <v>70</v>
      </c>
      <c r="G662" s="18">
        <v>45</v>
      </c>
      <c r="L662" s="18">
        <v>549</v>
      </c>
      <c r="M662" s="18">
        <v>740</v>
      </c>
      <c r="P662" s="18" t="s">
        <v>31</v>
      </c>
      <c r="R662" t="s">
        <v>247</v>
      </c>
    </row>
    <row r="663" spans="1:18" x14ac:dyDescent="0.3">
      <c r="A663" s="18">
        <v>200</v>
      </c>
      <c r="E663" s="18">
        <v>70</v>
      </c>
      <c r="L663" s="18">
        <v>524</v>
      </c>
      <c r="M663" s="18">
        <v>700</v>
      </c>
      <c r="P663" s="18" t="s">
        <v>27</v>
      </c>
      <c r="Q663" s="18" t="s">
        <v>58</v>
      </c>
      <c r="R663" t="s">
        <v>247</v>
      </c>
    </row>
    <row r="664" spans="1:18" ht="28.8" x14ac:dyDescent="0.3">
      <c r="A664" s="18">
        <v>700</v>
      </c>
      <c r="B664" s="18">
        <v>275</v>
      </c>
      <c r="C664" s="18">
        <v>50</v>
      </c>
      <c r="D664" s="18">
        <v>120</v>
      </c>
      <c r="E664" s="18">
        <v>70</v>
      </c>
      <c r="F664" s="18" t="s">
        <v>18</v>
      </c>
      <c r="G664" s="18">
        <v>0</v>
      </c>
      <c r="H664" s="18">
        <f>((A664/B664)*1000)</f>
        <v>2545.4545454545455</v>
      </c>
      <c r="I664" s="18">
        <v>65</v>
      </c>
      <c r="J664" s="18" t="s">
        <v>23</v>
      </c>
      <c r="K664" s="18">
        <v>204</v>
      </c>
      <c r="L664" s="18">
        <v>438</v>
      </c>
      <c r="M664" s="18">
        <v>542</v>
      </c>
      <c r="N664" s="18">
        <v>99.88</v>
      </c>
      <c r="O664" s="26" t="s">
        <v>248</v>
      </c>
      <c r="P664" s="18" t="s">
        <v>89</v>
      </c>
      <c r="Q664" s="18" t="s">
        <v>32</v>
      </c>
      <c r="R664" s="27" t="s">
        <v>249</v>
      </c>
    </row>
    <row r="665" spans="1:18" ht="28.8" x14ac:dyDescent="0.3">
      <c r="A665" s="18">
        <v>700</v>
      </c>
      <c r="B665" s="18">
        <v>275</v>
      </c>
      <c r="C665" s="18">
        <v>50</v>
      </c>
      <c r="D665" s="18">
        <v>120</v>
      </c>
      <c r="E665" s="18">
        <v>70</v>
      </c>
      <c r="F665" s="18" t="s">
        <v>18</v>
      </c>
      <c r="G665" s="18">
        <v>45</v>
      </c>
      <c r="H665" s="18">
        <f t="shared" ref="H665:H666" si="14">((A665/B665)*1000)</f>
        <v>2545.4545454545455</v>
      </c>
      <c r="I665" s="18">
        <v>65</v>
      </c>
      <c r="J665" s="18" t="s">
        <v>23</v>
      </c>
      <c r="K665" s="18">
        <v>210</v>
      </c>
      <c r="L665" s="18">
        <v>445</v>
      </c>
      <c r="M665" s="18">
        <v>564</v>
      </c>
      <c r="N665" s="18">
        <v>99.61</v>
      </c>
      <c r="O665" s="26" t="s">
        <v>248</v>
      </c>
      <c r="P665" s="18" t="s">
        <v>27</v>
      </c>
      <c r="Q665" s="18" t="s">
        <v>32</v>
      </c>
      <c r="R665" s="27" t="s">
        <v>249</v>
      </c>
    </row>
    <row r="666" spans="1:18" ht="28.8" x14ac:dyDescent="0.3">
      <c r="A666" s="18">
        <v>700</v>
      </c>
      <c r="B666" s="18">
        <v>275</v>
      </c>
      <c r="C666" s="18">
        <v>50</v>
      </c>
      <c r="D666" s="18">
        <v>120</v>
      </c>
      <c r="E666" s="18">
        <v>70</v>
      </c>
      <c r="F666" s="18" t="s">
        <v>24</v>
      </c>
      <c r="G666" s="18">
        <v>0</v>
      </c>
      <c r="H666" s="18">
        <f t="shared" si="14"/>
        <v>2545.4545454545455</v>
      </c>
      <c r="I666" s="18">
        <v>65</v>
      </c>
      <c r="J666" s="18" t="s">
        <v>23</v>
      </c>
      <c r="K666" s="18">
        <v>189</v>
      </c>
      <c r="L666" s="18">
        <v>364</v>
      </c>
      <c r="M666" s="18">
        <v>442</v>
      </c>
      <c r="N666" s="18">
        <v>99.61</v>
      </c>
      <c r="O666" s="26" t="s">
        <v>248</v>
      </c>
      <c r="P666" s="18" t="s">
        <v>218</v>
      </c>
      <c r="Q666" s="18" t="s">
        <v>32</v>
      </c>
      <c r="R666" s="27" t="s">
        <v>249</v>
      </c>
    </row>
    <row r="667" spans="1:18" x14ac:dyDescent="0.3">
      <c r="A667" s="18">
        <v>200</v>
      </c>
      <c r="C667" s="18">
        <v>40</v>
      </c>
      <c r="E667" s="18">
        <v>70</v>
      </c>
      <c r="G667" s="18">
        <v>67</v>
      </c>
      <c r="I667" s="18">
        <v>139</v>
      </c>
      <c r="L667" s="18">
        <v>425</v>
      </c>
      <c r="M667" s="18">
        <v>540</v>
      </c>
      <c r="Q667" s="18" t="s">
        <v>32</v>
      </c>
      <c r="R667" s="20" t="s">
        <v>250</v>
      </c>
    </row>
    <row r="668" spans="1:18" x14ac:dyDescent="0.3">
      <c r="A668" s="18">
        <v>60</v>
      </c>
      <c r="B668" s="18">
        <v>600</v>
      </c>
      <c r="C668" s="18">
        <v>10</v>
      </c>
      <c r="D668" s="18">
        <v>15</v>
      </c>
      <c r="E668" s="18">
        <v>15</v>
      </c>
      <c r="F668" s="18" t="s">
        <v>182</v>
      </c>
      <c r="G668" s="18">
        <v>90</v>
      </c>
      <c r="H668" s="18">
        <f>((A668/B668)*1000)</f>
        <v>100</v>
      </c>
      <c r="I668" s="18">
        <v>666.7</v>
      </c>
      <c r="J668" s="18" t="s">
        <v>19</v>
      </c>
      <c r="L668" s="18" t="s">
        <v>251</v>
      </c>
      <c r="M668" s="18" t="s">
        <v>252</v>
      </c>
      <c r="N668" s="18">
        <v>99.97</v>
      </c>
      <c r="O668" s="26" t="s">
        <v>253</v>
      </c>
      <c r="P668" s="18" t="s">
        <v>89</v>
      </c>
      <c r="Q668" s="18" t="s">
        <v>32</v>
      </c>
      <c r="R668" s="20" t="s">
        <v>261</v>
      </c>
    </row>
    <row r="669" spans="1:18" x14ac:dyDescent="0.3">
      <c r="A669" s="18">
        <v>60</v>
      </c>
      <c r="B669" s="18">
        <v>600</v>
      </c>
      <c r="C669" s="18">
        <v>10</v>
      </c>
      <c r="D669" s="18">
        <v>25</v>
      </c>
      <c r="E669" s="18">
        <v>15</v>
      </c>
      <c r="F669" s="18" t="s">
        <v>182</v>
      </c>
      <c r="G669" s="18">
        <v>90</v>
      </c>
      <c r="H669" s="18">
        <f t="shared" ref="H669:H675" si="15">((A669/B669)*1000)</f>
        <v>100</v>
      </c>
      <c r="I669" s="18">
        <v>400</v>
      </c>
      <c r="J669" s="18" t="s">
        <v>19</v>
      </c>
      <c r="L669" s="18" t="s">
        <v>251</v>
      </c>
      <c r="M669" s="18" t="s">
        <v>252</v>
      </c>
      <c r="N669" s="18">
        <v>99.97</v>
      </c>
      <c r="O669" s="26" t="s">
        <v>254</v>
      </c>
      <c r="P669" s="18" t="s">
        <v>27</v>
      </c>
      <c r="Q669" s="18" t="s">
        <v>32</v>
      </c>
      <c r="R669" s="20" t="s">
        <v>261</v>
      </c>
    </row>
    <row r="670" spans="1:18" x14ac:dyDescent="0.3">
      <c r="A670" s="18">
        <v>60</v>
      </c>
      <c r="B670" s="18">
        <v>600</v>
      </c>
      <c r="C670" s="18">
        <v>10</v>
      </c>
      <c r="D670" s="18">
        <v>35</v>
      </c>
      <c r="E670" s="18">
        <v>15</v>
      </c>
      <c r="F670" s="18" t="s">
        <v>182</v>
      </c>
      <c r="G670" s="18">
        <v>90</v>
      </c>
      <c r="H670" s="18">
        <f t="shared" si="15"/>
        <v>100</v>
      </c>
      <c r="I670" s="18">
        <v>285.7</v>
      </c>
      <c r="J670" s="18" t="s">
        <v>19</v>
      </c>
      <c r="L670" s="18" t="s">
        <v>251</v>
      </c>
      <c r="M670" s="18" t="s">
        <v>252</v>
      </c>
      <c r="N670" s="18">
        <v>99.97</v>
      </c>
      <c r="O670" s="26" t="s">
        <v>255</v>
      </c>
      <c r="P670" s="18" t="s">
        <v>27</v>
      </c>
      <c r="Q670" s="18" t="s">
        <v>32</v>
      </c>
      <c r="R670" s="20" t="s">
        <v>261</v>
      </c>
    </row>
    <row r="671" spans="1:18" x14ac:dyDescent="0.3">
      <c r="A671" s="18">
        <v>60</v>
      </c>
      <c r="B671" s="18">
        <v>600</v>
      </c>
      <c r="C671" s="18">
        <v>10</v>
      </c>
      <c r="D671" s="18">
        <v>45</v>
      </c>
      <c r="E671" s="18">
        <v>15</v>
      </c>
      <c r="F671" s="18" t="s">
        <v>182</v>
      </c>
      <c r="G671" s="18">
        <v>90</v>
      </c>
      <c r="H671" s="18">
        <f t="shared" si="15"/>
        <v>100</v>
      </c>
      <c r="I671" s="18">
        <v>222.2</v>
      </c>
      <c r="J671" s="18" t="s">
        <v>19</v>
      </c>
      <c r="L671" s="18" t="s">
        <v>251</v>
      </c>
      <c r="M671" s="18" t="s">
        <v>252</v>
      </c>
      <c r="N671" s="18">
        <v>99.96</v>
      </c>
      <c r="O671" s="26" t="s">
        <v>256</v>
      </c>
      <c r="P671" s="18" t="s">
        <v>71</v>
      </c>
      <c r="Q671" s="18" t="s">
        <v>32</v>
      </c>
      <c r="R671" s="20" t="s">
        <v>261</v>
      </c>
    </row>
    <row r="672" spans="1:18" x14ac:dyDescent="0.3">
      <c r="A672" s="18">
        <v>60</v>
      </c>
      <c r="B672" s="18">
        <v>600</v>
      </c>
      <c r="C672" s="18">
        <v>10</v>
      </c>
      <c r="D672" s="18">
        <v>15</v>
      </c>
      <c r="E672" s="18">
        <v>15</v>
      </c>
      <c r="F672" s="18" t="s">
        <v>182</v>
      </c>
      <c r="G672" s="18">
        <v>90</v>
      </c>
      <c r="H672" s="18">
        <f t="shared" si="15"/>
        <v>100</v>
      </c>
      <c r="I672" s="18">
        <v>666.7</v>
      </c>
      <c r="J672" s="18" t="s">
        <v>19</v>
      </c>
      <c r="L672" s="18" t="s">
        <v>251</v>
      </c>
      <c r="M672" s="18" t="s">
        <v>252</v>
      </c>
      <c r="N672" s="18">
        <v>99.97</v>
      </c>
      <c r="O672" s="26" t="s">
        <v>257</v>
      </c>
      <c r="P672" s="18" t="s">
        <v>89</v>
      </c>
      <c r="Q672" s="18" t="s">
        <v>58</v>
      </c>
      <c r="R672" s="20" t="s">
        <v>261</v>
      </c>
    </row>
    <row r="673" spans="1:18" x14ac:dyDescent="0.3">
      <c r="A673" s="18">
        <v>60</v>
      </c>
      <c r="B673" s="18">
        <v>600</v>
      </c>
      <c r="C673" s="18">
        <v>10</v>
      </c>
      <c r="D673" s="18">
        <v>25</v>
      </c>
      <c r="E673" s="18">
        <v>15</v>
      </c>
      <c r="F673" s="18" t="s">
        <v>182</v>
      </c>
      <c r="G673" s="18">
        <v>90</v>
      </c>
      <c r="H673" s="18">
        <f t="shared" si="15"/>
        <v>100</v>
      </c>
      <c r="I673" s="18">
        <v>400</v>
      </c>
      <c r="J673" s="18" t="s">
        <v>19</v>
      </c>
      <c r="L673" s="18" t="s">
        <v>251</v>
      </c>
      <c r="M673" s="18" t="s">
        <v>252</v>
      </c>
      <c r="N673" s="18">
        <v>99.97</v>
      </c>
      <c r="O673" s="26" t="s">
        <v>258</v>
      </c>
      <c r="P673" s="18" t="s">
        <v>27</v>
      </c>
      <c r="Q673" s="18" t="s">
        <v>58</v>
      </c>
      <c r="R673" s="20" t="s">
        <v>261</v>
      </c>
    </row>
    <row r="674" spans="1:18" x14ac:dyDescent="0.3">
      <c r="A674" s="18">
        <v>60</v>
      </c>
      <c r="B674" s="18">
        <v>600</v>
      </c>
      <c r="C674" s="18">
        <v>10</v>
      </c>
      <c r="D674" s="18">
        <v>35</v>
      </c>
      <c r="E674" s="18">
        <v>15</v>
      </c>
      <c r="F674" s="18" t="s">
        <v>182</v>
      </c>
      <c r="G674" s="18">
        <v>90</v>
      </c>
      <c r="H674" s="18">
        <f t="shared" si="15"/>
        <v>100</v>
      </c>
      <c r="I674" s="18">
        <v>285.7</v>
      </c>
      <c r="J674" s="18" t="s">
        <v>19</v>
      </c>
      <c r="L674" s="18" t="s">
        <v>251</v>
      </c>
      <c r="M674" s="18" t="s">
        <v>252</v>
      </c>
      <c r="N674" s="18">
        <v>99.97</v>
      </c>
      <c r="O674" s="26" t="s">
        <v>259</v>
      </c>
      <c r="P674" s="18" t="s">
        <v>27</v>
      </c>
      <c r="Q674" s="18" t="s">
        <v>58</v>
      </c>
      <c r="R674" s="20" t="s">
        <v>261</v>
      </c>
    </row>
    <row r="675" spans="1:18" x14ac:dyDescent="0.3">
      <c r="A675" s="18">
        <v>60</v>
      </c>
      <c r="B675" s="18">
        <v>600</v>
      </c>
      <c r="C675" s="18">
        <v>10</v>
      </c>
      <c r="D675" s="18">
        <v>45</v>
      </c>
      <c r="E675" s="18">
        <v>15</v>
      </c>
      <c r="F675" s="18" t="s">
        <v>182</v>
      </c>
      <c r="G675" s="18">
        <v>90</v>
      </c>
      <c r="H675" s="18">
        <f t="shared" si="15"/>
        <v>100</v>
      </c>
      <c r="I675" s="18">
        <v>222.2</v>
      </c>
      <c r="J675" s="18" t="s">
        <v>19</v>
      </c>
      <c r="L675" s="18" t="s">
        <v>251</v>
      </c>
      <c r="M675" s="18" t="s">
        <v>252</v>
      </c>
      <c r="N675" s="18">
        <v>99.96</v>
      </c>
      <c r="O675" s="26" t="s">
        <v>260</v>
      </c>
      <c r="P675" s="18" t="s">
        <v>71</v>
      </c>
      <c r="Q675" s="18" t="s">
        <v>58</v>
      </c>
      <c r="R675" s="20" t="s">
        <v>261</v>
      </c>
    </row>
  </sheetData>
  <phoneticPr fontId="6" type="noConversion"/>
  <hyperlinks>
    <hyperlink ref="R506" r:id="rId1" display="https://doi.org/10.3390/ma18163899" xr:uid="{A4C4D4DB-4927-45D6-B985-E094B21588E5}"/>
    <hyperlink ref="R507" r:id="rId2" display="https://doi.org/10.3390/ma18163899" xr:uid="{6CC3E17E-E986-435F-91F2-46EF61C2FC0A}"/>
    <hyperlink ref="R2" r:id="rId3" display="https://doi.org/10.48550/arXiv.2308.16621" xr:uid="{57723B3B-8A0F-44A9-8B66-341ED1BCE13B}"/>
    <hyperlink ref="R3" r:id="rId4" display="https://doi.org/10.48550/arXiv.2308.16621" xr:uid="{F3BCFA87-3CA9-4843-A406-9370DDCF513E}"/>
    <hyperlink ref="R4" r:id="rId5" display="https://doi.org/10.48550/arXiv.2308.16621" xr:uid="{C81182EF-4987-4C4B-A54B-3525A9DBF81D}"/>
    <hyperlink ref="R5" r:id="rId6" display="https://doi.org/10.48550/arXiv.2308.16621" xr:uid="{210B2EA8-5325-43AF-8710-B8A9B9ADA568}"/>
    <hyperlink ref="R6" r:id="rId7" display="https://doi.org/10.48550/arXiv.2308.16621" xr:uid="{5E9F615A-E95D-4BAD-ADC2-CEA5D152EE24}"/>
    <hyperlink ref="R7" r:id="rId8" display="https://doi.org/10.48550/arXiv.2308.16621" xr:uid="{99154206-72AE-4898-961D-19626684B584}"/>
    <hyperlink ref="R8" r:id="rId9" display="https://doi.org/10.48550/arXiv.2308.16621" xr:uid="{840878A6-9586-4772-AEA2-A696B81DD642}"/>
    <hyperlink ref="R9" r:id="rId10" display="https://doi.org/10.48550/arXiv.2308.16621" xr:uid="{1E1C9520-8519-41A7-BB5C-59C3C33ADAD5}"/>
    <hyperlink ref="R10" r:id="rId11" display="https://doi.org/10.48550/arXiv.2308.16621" xr:uid="{6E1FFBCC-025F-4692-AF91-DED83F19A5D4}"/>
    <hyperlink ref="R11" r:id="rId12" display="https://doi.org/10.48550/arXiv.2308.16621" xr:uid="{5D1A57E2-937E-49C5-9455-B9597365F1E7}"/>
    <hyperlink ref="R12" r:id="rId13" display="https://doi.org/10.48550/arXiv.2308.16621" xr:uid="{C7159913-6813-4D60-BD81-4F40F70BF479}"/>
    <hyperlink ref="R13" r:id="rId14" display="https://doi.org/10.48550/arXiv.2308.16621" xr:uid="{90596E50-1C43-40F8-B9F6-70DF304CCC78}"/>
    <hyperlink ref="R14" r:id="rId15" display="https://doi.org/10.48550/arXiv.2308.16621" xr:uid="{33F8E203-B372-4DAA-99B7-F0CDF51E4471}"/>
    <hyperlink ref="R15" r:id="rId16" display="https://doi.org/10.48550/arXiv.2308.16621" xr:uid="{54557FFA-433D-4160-A27C-C5EA9C811276}"/>
    <hyperlink ref="R16" r:id="rId17" display="https://doi.org/10.48550/arXiv.2308.16621" xr:uid="{6755844C-B595-4E42-BCB6-940013A39246}"/>
    <hyperlink ref="R17" r:id="rId18" display="https://doi.org/10.48550/arXiv.2308.16621" xr:uid="{48511016-B771-4A84-8958-3093CE57F9E2}"/>
    <hyperlink ref="R18" r:id="rId19" display="https://doi.org/10.48550/arXiv.2308.16621" xr:uid="{0BD1ED75-5FFB-4B60-8251-1E00B434892F}"/>
    <hyperlink ref="R19" r:id="rId20" display="https://doi.org/10.48550/arXiv.2308.16621" xr:uid="{82D566EF-6922-435F-A2E1-5954E31BBC91}"/>
    <hyperlink ref="R20" r:id="rId21" display="https://doi.org/10.48550/arXiv.2308.16621" xr:uid="{B4CC22CB-D299-47EF-8383-AA9B361913FA}"/>
    <hyperlink ref="R21" r:id="rId22" display="https://doi.org/10.48550/arXiv.2308.16621" xr:uid="{557A71E0-FE25-45CF-A509-4CECAF24C4F1}"/>
    <hyperlink ref="R22" r:id="rId23" display="https://doi.org/10.48550/arXiv.2308.16621" xr:uid="{C588E295-DC5D-48DD-A753-758D1E0BF6B3}"/>
    <hyperlink ref="R23" r:id="rId24" display="https://doi.org/10.48550/arXiv.2308.16621" xr:uid="{A18E5E9C-6D7F-42C7-B6D1-520ABA53EDBA}"/>
    <hyperlink ref="R24" r:id="rId25" display="https://doi.org/10.48550/arXiv.2308.16621" xr:uid="{95C31F12-ADC5-4970-9898-08E0ADB00FAC}"/>
    <hyperlink ref="R25" r:id="rId26" display="https://doi.org/10.48550/arXiv.2308.16621" xr:uid="{C36C062A-B9BC-44FE-AE74-B3CB498CFA45}"/>
    <hyperlink ref="R26" r:id="rId27" display="https://doi.org/10.48550/arXiv.2308.16621" xr:uid="{97266EDB-5EF7-44D9-A490-6CCCDDD39ADB}"/>
    <hyperlink ref="R27" r:id="rId28" display="https://doi.org/10.48550/arXiv.2308.16621" xr:uid="{BB618598-3818-4C22-9D52-092963E14D32}"/>
    <hyperlink ref="R28" r:id="rId29" display="https://doi.org/10.48550/arXiv.2308.16621" xr:uid="{6211BC56-45D0-4711-9960-CA750A1624ED}"/>
    <hyperlink ref="R29" r:id="rId30" display="https://doi.org/10.48550/arXiv.2308.16621" xr:uid="{CC5B0A73-A3B3-45DE-B2C0-CADE7E1D684B}"/>
    <hyperlink ref="R30" r:id="rId31" display="https://doi.org/10.48550/arXiv.2308.16621" xr:uid="{3B2A6913-E691-4004-ACDA-D541176223D4}"/>
    <hyperlink ref="R31" r:id="rId32" display="https://doi.org/10.48550/arXiv.2308.16621" xr:uid="{DFC49EB6-CB93-48F5-8514-53F9500DC2EC}"/>
    <hyperlink ref="R32" r:id="rId33" display="https://doi.org/10.48550/arXiv.2308.16621" xr:uid="{9AFC1F83-FCD8-4D9E-96F2-41E127C7B6D1}"/>
    <hyperlink ref="R33" r:id="rId34" display="https://doi.org/10.48550/arXiv.2308.16621" xr:uid="{7B71B857-2152-4EE1-A3AE-1A197E2AD95A}"/>
    <hyperlink ref="R34" r:id="rId35" display="https://doi.org/10.48550/arXiv.2308.16621" xr:uid="{CA118BB5-07F4-4D01-84BE-004CC6881E01}"/>
    <hyperlink ref="R35" r:id="rId36" display="https://doi.org/10.48550/arXiv.2308.16621" xr:uid="{06A6D66B-B6D8-40DF-AE47-0A5EE7787188}"/>
    <hyperlink ref="R36" r:id="rId37" display="https://doi.org/10.48550/arXiv.2308.16621" xr:uid="{6D5AD560-9528-46AB-838F-F35C4BD430FB}"/>
    <hyperlink ref="R37" r:id="rId38" display="https://doi.org/10.48550/arXiv.2308.16621" xr:uid="{49D18493-AF06-402B-A08D-A2F5A23E7736}"/>
    <hyperlink ref="R38" r:id="rId39" display="https://doi.org/10.48550/arXiv.2308.16621" xr:uid="{CF9B25D4-4EB5-4509-BE63-C7FB8A7A32F2}"/>
    <hyperlink ref="R39" r:id="rId40" display="https://doi.org/10.48550/arXiv.2308.16621" xr:uid="{A2BEAF6D-8736-407E-BFE8-B09337BBE55C}"/>
    <hyperlink ref="R40" r:id="rId41" display="https://doi.org/10.48550/arXiv.2308.16621" xr:uid="{A0408E72-3308-4381-8394-C9E8F927D356}"/>
    <hyperlink ref="R41" r:id="rId42" display="https://doi.org/10.48550/arXiv.2308.16621" xr:uid="{E7F39C08-B1EA-47DB-AC6A-8A70F966225C}"/>
    <hyperlink ref="R42" r:id="rId43" display="https://doi.org/10.48550/arXiv.2308.16621" xr:uid="{58586572-F1D6-47FC-922E-8CAEB7282ED1}"/>
    <hyperlink ref="R43" r:id="rId44" display="https://doi.org/10.48550/arXiv.2308.16621" xr:uid="{4E138F70-880C-4392-8437-83615DB5EAD8}"/>
    <hyperlink ref="R44" r:id="rId45" display="https://doi.org/10.48550/arXiv.2308.16621" xr:uid="{8121E53E-03EA-45A0-8C1F-4177D6D42176}"/>
    <hyperlink ref="R45" r:id="rId46" display="https://doi.org/10.48550/arXiv.2308.16621" xr:uid="{CB577D99-2EFB-465D-B501-B722D3FDD2D2}"/>
    <hyperlink ref="R46" r:id="rId47" display="https://doi.org/10.48550/arXiv.2308.16621" xr:uid="{2F62D90F-6AA9-4568-84A3-9BCB2DFF8CC5}"/>
    <hyperlink ref="R47" r:id="rId48" display="https://doi.org/10.48550/arXiv.2308.16621" xr:uid="{55FFA3BC-F09C-43EA-AC59-C122CEFBB74F}"/>
    <hyperlink ref="R71" r:id="rId49" display="https://doi.org/10.48550/arXiv.2308.16621" xr:uid="{EF2DB5C0-5C78-4111-A8FD-FFB9B52096B7}"/>
    <hyperlink ref="R48" r:id="rId50" display="https://doi.org/10.48550/arXiv.2308.16621" xr:uid="{23BA613C-C327-44DE-8AA0-79E364E2A07F}"/>
    <hyperlink ref="R49" r:id="rId51" display="https://doi.org/10.48550/arXiv.2308.16621" xr:uid="{FBE54363-5546-467D-BC9A-42F15C0771DC}"/>
    <hyperlink ref="R50" r:id="rId52" display="https://doi.org/10.48550/arXiv.2308.16621" xr:uid="{45B6BD16-11D8-427E-98F0-9DE5D0A99EA9}"/>
    <hyperlink ref="R51" r:id="rId53" display="https://doi.org/10.48550/arXiv.2308.16621" xr:uid="{1B32557D-1033-4E53-B93C-AAAEA349E5B1}"/>
    <hyperlink ref="R52" r:id="rId54" display="https://doi.org/10.48550/arXiv.2308.16621" xr:uid="{B2F2F624-13C2-49E8-9AC0-DD32BCAADCAF}"/>
    <hyperlink ref="R53" r:id="rId55" display="https://doi.org/10.48550/arXiv.2308.16621" xr:uid="{EFDF4AB2-FDBD-408B-9D52-21026C2FD30D}"/>
    <hyperlink ref="R54" r:id="rId56" display="https://doi.org/10.48550/arXiv.2308.16621" xr:uid="{5E28FDE3-9008-433D-BA94-5C82E646B592}"/>
    <hyperlink ref="R55" r:id="rId57" display="https://doi.org/10.48550/arXiv.2308.16621" xr:uid="{F005971A-45B9-432D-8FD5-C9096439ABDB}"/>
    <hyperlink ref="R56" r:id="rId58" display="https://doi.org/10.48550/arXiv.2308.16621" xr:uid="{DB5E26F0-1E41-4AD5-A9E4-053E7CC3A405}"/>
    <hyperlink ref="R57" r:id="rId59" display="https://doi.org/10.48550/arXiv.2308.16621" xr:uid="{3B556472-D2FE-4EF5-A9D7-BB95DCCD5C1D}"/>
    <hyperlink ref="R58" r:id="rId60" display="https://doi.org/10.48550/arXiv.2308.16621" xr:uid="{12AFB068-6B48-44F1-9A98-AD55551D2436}"/>
    <hyperlink ref="R59" r:id="rId61" display="https://doi.org/10.48550/arXiv.2308.16621" xr:uid="{F05F4BE2-40EE-41A4-A02B-EC463E5102DD}"/>
    <hyperlink ref="R60" r:id="rId62" display="https://doi.org/10.48550/arXiv.2308.16621" xr:uid="{8D37D996-F617-4D55-A132-9B029076F93F}"/>
    <hyperlink ref="R61" r:id="rId63" display="https://doi.org/10.48550/arXiv.2308.16621" xr:uid="{B6B3849A-3BA5-499A-A278-6A2DC632A2B4}"/>
    <hyperlink ref="R62" r:id="rId64" display="https://doi.org/10.48550/arXiv.2308.16621" xr:uid="{C1D1C8D4-4B52-4EFD-B397-C3728A6E6A6D}"/>
    <hyperlink ref="R63" r:id="rId65" display="https://doi.org/10.48550/arXiv.2308.16621" xr:uid="{C5FEB9CF-C6B9-49DD-9CC9-F4761E4058EB}"/>
    <hyperlink ref="R64" r:id="rId66" display="https://doi.org/10.48550/arXiv.2308.16621" xr:uid="{4974D442-900B-4950-920B-07B35FC54DE1}"/>
    <hyperlink ref="R65" r:id="rId67" display="https://doi.org/10.48550/arXiv.2308.16621" xr:uid="{674EF953-43D0-414A-98F5-BE0C1BA6EC1B}"/>
    <hyperlink ref="R66" r:id="rId68" display="https://doi.org/10.48550/arXiv.2308.16621" xr:uid="{76326C14-819B-404C-8EA7-08527881ACBD}"/>
    <hyperlink ref="R67" r:id="rId69" display="https://doi.org/10.48550/arXiv.2308.16621" xr:uid="{DC076666-156C-42CB-8924-BF6F9DFF5299}"/>
    <hyperlink ref="R68" r:id="rId70" display="https://doi.org/10.48550/arXiv.2308.16621" xr:uid="{2FA3C038-F083-40F9-8A75-B0251E4034FA}"/>
    <hyperlink ref="R69" r:id="rId71" display="https://doi.org/10.48550/arXiv.2308.16621" xr:uid="{260604F5-78AD-4894-88C7-7054E448E2BD}"/>
    <hyperlink ref="R70" r:id="rId72" display="https://doi.org/10.48550/arXiv.2308.16621" xr:uid="{AC57A880-EA01-4BA3-A720-D438A5415235}"/>
    <hyperlink ref="R72" r:id="rId73" display="https://doi.org/10.48550/arXiv.2308.16621" xr:uid="{67B198A0-3373-48F6-AC83-8FA4323E0273}"/>
    <hyperlink ref="R73" r:id="rId74" display="https://doi.org/10.48550/arXiv.2308.16621" xr:uid="{249169D4-4DC9-41B3-9790-CDDF0FE08CD7}"/>
    <hyperlink ref="R74" r:id="rId75" display="https://doi.org/10.48550/arXiv.2308.16621" xr:uid="{E31D35FF-BB9B-4CA6-9B80-9C3802C6F14D}"/>
    <hyperlink ref="R91" r:id="rId76" xr:uid="{2C31B025-8D60-4B85-A8B7-76BE10D94F2D}"/>
    <hyperlink ref="R92" r:id="rId77" xr:uid="{8013E566-F543-4EDA-8EA8-FDAD8659DD09}"/>
    <hyperlink ref="R93" r:id="rId78" xr:uid="{3ECA9253-46EF-47CE-AF0A-BBBA5537154C}"/>
    <hyperlink ref="R94" r:id="rId79" xr:uid="{BEF38C80-170B-4D3C-BEAD-FD75DDF27F4B}"/>
    <hyperlink ref="R95" r:id="rId80" xr:uid="{B9150636-4D7E-4BAE-B742-FF277CE10A3C}"/>
    <hyperlink ref="R96" r:id="rId81" xr:uid="{7A7DEBD4-89D8-41EA-B8E2-C0C509ED9005}"/>
    <hyperlink ref="R97" r:id="rId82" xr:uid="{A4E9D6A3-6847-437B-8468-B1C51A33F847}"/>
    <hyperlink ref="R98" r:id="rId83" xr:uid="{FEBEE461-69C4-4BD3-BDCF-CFC2708BE985}"/>
    <hyperlink ref="R99" r:id="rId84" xr:uid="{823E2599-8FD5-4063-AE43-B18C665A1DA2}"/>
    <hyperlink ref="R100" r:id="rId85" xr:uid="{87C2249E-EBF6-4D37-87AC-F076D5035CA8}"/>
    <hyperlink ref="R101" r:id="rId86" xr:uid="{D74DE73F-02F1-41F4-B027-F7358A12315D}"/>
    <hyperlink ref="R102" r:id="rId87" xr:uid="{76F26E2A-6841-4F11-8B2C-EF2092E5A0F8}"/>
    <hyperlink ref="R103" r:id="rId88" xr:uid="{9E1165DC-DB2C-448C-BCA9-5F73F237E1DB}"/>
    <hyperlink ref="R104" r:id="rId89" xr:uid="{9C260084-D614-4779-BF39-42D7A3579B48}"/>
    <hyperlink ref="R105" r:id="rId90" xr:uid="{ECADCCB0-2BFB-4A99-8535-1696EA17A5E6}"/>
    <hyperlink ref="R106" r:id="rId91" xr:uid="{3DA9F8BD-A6CC-42AC-89F0-9E3B9B8D470C}"/>
    <hyperlink ref="R107" r:id="rId92" xr:uid="{52BA6DB0-89B2-4D05-BF2A-7F314E3CEE86}"/>
    <hyperlink ref="R108" r:id="rId93" xr:uid="{AC9AA70E-2D33-425B-967B-A3B54F7E85C7}"/>
    <hyperlink ref="R109" r:id="rId94" xr:uid="{DEB2834D-116D-466D-9F79-FF069ED73ED2}"/>
    <hyperlink ref="R110" r:id="rId95" xr:uid="{04E0889E-7D91-4851-860B-F5E6A5C2D200}"/>
    <hyperlink ref="R111" r:id="rId96" xr:uid="{E04D7C7A-A574-4EBE-9D0D-8A6AE1D1E715}"/>
    <hyperlink ref="R112" r:id="rId97" xr:uid="{7E471461-C1F2-4446-B1D9-8C6CC49554CD}"/>
    <hyperlink ref="R113" r:id="rId98" xr:uid="{F2B1586F-7C83-44AF-87D1-51C46560D69F}"/>
    <hyperlink ref="R114" r:id="rId99" xr:uid="{4D6F380C-7848-46AF-80E0-66102F90E9F6}"/>
    <hyperlink ref="R115" r:id="rId100" xr:uid="{8D8CF323-0312-4115-AD43-17A3CE62FF62}"/>
    <hyperlink ref="R116" r:id="rId101" xr:uid="{39BD206F-35B2-4BDC-8065-94197E713CB6}"/>
    <hyperlink ref="R117" r:id="rId102" xr:uid="{FB9B14A9-71B6-4164-B9FA-7A8EC103DCC6}"/>
    <hyperlink ref="R118" r:id="rId103" xr:uid="{AD03A0DF-EEE3-44D0-9512-3D952DCB40F3}"/>
    <hyperlink ref="R119" r:id="rId104" xr:uid="{DC8529F5-8083-456A-9C15-BC0F6642A7C9}"/>
    <hyperlink ref="R120" r:id="rId105" xr:uid="{FEC21CF1-820F-4610-960D-C05A77E49BB8}"/>
    <hyperlink ref="R121" r:id="rId106" xr:uid="{6C5EDF93-CF1C-4DD9-AB1A-98A959C6B54B}"/>
    <hyperlink ref="R122" r:id="rId107" xr:uid="{0447C16D-7A89-4FFF-BFB8-25D907A37FB7}"/>
    <hyperlink ref="R123" r:id="rId108" xr:uid="{28024AF6-9180-4CBB-AF16-76EA33222628}"/>
    <hyperlink ref="R124" r:id="rId109" xr:uid="{142573A1-CF50-46AF-AB2C-FAD17BFC3EEA}"/>
    <hyperlink ref="R125" r:id="rId110" xr:uid="{4727DEDF-8B85-4C25-B167-44519FD1D101}"/>
    <hyperlink ref="R126" r:id="rId111" xr:uid="{46865CA0-764F-44DB-B7BB-E31DBCE834C9}"/>
    <hyperlink ref="R551" r:id="rId112" xr:uid="{27BCCF4D-F46B-4A75-963B-B4BC3877BAD7}"/>
    <hyperlink ref="R552" r:id="rId113" display="https://doi.org/10.3390/met13050842" xr:uid="{1294FC5A-EFCC-4A40-8716-83D06AD8D57C}"/>
    <hyperlink ref="R553" r:id="rId114" display="https://doi.org/10.3390/met13050842" xr:uid="{C5BC63D1-B2C5-40AE-8BE4-A0B69032DD1A}"/>
    <hyperlink ref="R554" r:id="rId115" display="https://doi.org/10.3390/met13050842" xr:uid="{E9E33BB8-13ED-4BA7-8094-86852D4F1A58}"/>
    <hyperlink ref="R555" r:id="rId116" display="https://doi.org/10.3390/met13050842" xr:uid="{7D2F3F35-640D-4D58-A4B1-E2B7D6D89DE1}"/>
    <hyperlink ref="R556" r:id="rId117" display="https://doi.org/10.3390/met13050842" xr:uid="{57C41AD9-7DEF-4E68-B46C-3F47407FD7D1}"/>
    <hyperlink ref="R557" r:id="rId118" display="https://doi.org/10.3390/met13050842" xr:uid="{95E5EDA3-C6C3-4C2C-B436-547382071C34}"/>
    <hyperlink ref="R558" r:id="rId119" display="https://doi.org/10.3390/met13050842" xr:uid="{CBFFA387-413C-464A-BA79-B3824869DEAA}"/>
    <hyperlink ref="R559" r:id="rId120" display="https://doi.org/10.3390/met13050842" xr:uid="{0602C12C-3989-4D19-8312-8FD2C86324DB}"/>
    <hyperlink ref="R560" r:id="rId121" display="https://doi.org/10.3390/met13050842" xr:uid="{4C7EA456-8F69-4E2C-A644-09810550EE8F}"/>
    <hyperlink ref="R561" r:id="rId122" display="https://doi.org/10.3390/met13050842" xr:uid="{79CE91E4-DFF1-4E33-B1A6-1B842E84CC68}"/>
    <hyperlink ref="R562" r:id="rId123" display="https://doi.org/10.3390/met13050842" xr:uid="{2A399087-5134-42C4-AF3B-889A10801EA9}"/>
    <hyperlink ref="R563" r:id="rId124" display="https://doi.org/10.3390/met13050842" xr:uid="{450A24B7-7C63-48CD-AA71-F11DDC37CCFB}"/>
    <hyperlink ref="R564" r:id="rId125" display="https://doi.org/10.3390/met13050842" xr:uid="{20023823-2C80-4C25-9027-0FC1F01FEA30}"/>
    <hyperlink ref="R565" r:id="rId126" display="https://doi.org/10.3390/met13050842" xr:uid="{77A38785-90B9-4BF0-9753-BE062877BFEC}"/>
    <hyperlink ref="R566" r:id="rId127" display="https://doi.org/10.3390/met13050842" xr:uid="{76B363DA-0F34-4959-A87D-D6707C17D165}"/>
    <hyperlink ref="R567" r:id="rId128" display="https://doi.org/10.3390/met13050842" xr:uid="{C744FC91-0E60-44DB-B5F4-ECD25E58CF1D}"/>
    <hyperlink ref="R568" r:id="rId129" display="https://doi.org/10.3390/met13050842" xr:uid="{C378EA84-EDF1-4780-BB0D-A60E98D0D7BE}"/>
    <hyperlink ref="R569" r:id="rId130" display="https://doi.org/10.3390/met13050842" xr:uid="{0085399C-4F59-4EB6-835E-573EE05DB1C7}"/>
    <hyperlink ref="R570" r:id="rId131" display="https://doi.org/10.3390/met13050842" xr:uid="{A34F17BA-49AE-4C3D-8C67-8EF307B0D57A}"/>
    <hyperlink ref="R571" r:id="rId132" display="https://doi.org/10.3390/met13050842" xr:uid="{E5B4595E-D475-49B2-85FA-2C17DCCBC5FD}"/>
    <hyperlink ref="R572" r:id="rId133" display="https://doi.org/10.3390/met13050842" xr:uid="{CA733869-C940-4599-8673-ABC01F49455B}"/>
    <hyperlink ref="R573" r:id="rId134" display="https://doi.org/10.3390/met13050842" xr:uid="{91DD338C-1BA6-4278-9A5C-6F5A93259352}"/>
    <hyperlink ref="R574" r:id="rId135" display="https://doi.org/10.3390/met13050842" xr:uid="{962A6816-86B5-4339-9CDE-E9011051CE6E}"/>
    <hyperlink ref="R575" r:id="rId136" display="https://doi.org/10.1007/s00170-019-03928-3?urlappend=%3Futm_source%3Dresearchgate.net%26utm_medium%3Darticle" xr:uid="{039F2717-6CB6-4F71-8265-0999C29A7A53}"/>
    <hyperlink ref="R576" r:id="rId137" display="https://doi.org/10.1007/s00170-019-03928-3?urlappend=%3Futm_source%3Dresearchgate.net%26utm_medium%3Darticle" xr:uid="{8D4CF209-1D10-49DE-8C8D-F4D84487B1F7}"/>
    <hyperlink ref="R577" r:id="rId138" display="https://doi.org/10.1007/s00170-019-03928-3?urlappend=%3Futm_source%3Dresearchgate.net%26utm_medium%3Darticle" xr:uid="{C09DBDD2-078D-4752-9BE6-C016EB9211F8}"/>
    <hyperlink ref="R578" r:id="rId139" display="https://doi.org/10.1007/s00170-019-03928-3?urlappend=%3Futm_source%3Dresearchgate.net%26utm_medium%3Darticle" xr:uid="{8F97F62A-FFF0-4BFA-B7B4-98C3BBF020E5}"/>
    <hyperlink ref="R579" r:id="rId140" display="https://doi.org/10.1007/s00170-019-03928-3?urlappend=%3Futm_source%3Dresearchgate.net%26utm_medium%3Darticle" xr:uid="{04608F35-25BF-46B3-84A5-80559A2F92C5}"/>
    <hyperlink ref="R580" r:id="rId141" display="https://doi.org/10.1007/s00170-019-03928-3?urlappend=%3Futm_source%3Dresearchgate.net%26utm_medium%3Darticle" xr:uid="{80367809-6AE4-4A2D-AA1D-81E69806794B}"/>
    <hyperlink ref="R581" r:id="rId142" display="https://doi.org/10.1007/s00170-019-03928-3?urlappend=%3Futm_source%3Dresearchgate.net%26utm_medium%3Darticle" xr:uid="{0A3D493A-74E9-4542-AB9E-6D4861C3E594}"/>
    <hyperlink ref="R582" r:id="rId143" display="https://doi.org/10.1007/s00170-019-03928-3?urlappend=%3Futm_source%3Dresearchgate.net%26utm_medium%3Darticle" xr:uid="{407A0925-B511-42F4-AEA4-AD126BCC7CBB}"/>
    <hyperlink ref="R583" r:id="rId144" display="https://doi.org/10.1007/s00170-019-03928-3?urlappend=%3Futm_source%3Dresearchgate.net%26utm_medium%3Darticle" xr:uid="{FCBB6E27-32E9-432E-AED8-F8A9B2247AFB}"/>
    <hyperlink ref="R584" r:id="rId145" display="https://doi.org/10.1007/s00170-019-03928-3?urlappend=%3Futm_source%3Dresearchgate.net%26utm_medium%3Darticle" xr:uid="{0D2B0CB4-6946-4389-8E0B-B9596E39AEE2}"/>
    <hyperlink ref="R585" r:id="rId146" display="https://doi.org/10.1007/s00170-019-03928-3?urlappend=%3Futm_source%3Dresearchgate.net%26utm_medium%3Darticle" xr:uid="{0F4C8756-2C98-4ED3-8983-2974F8DE512D}"/>
    <hyperlink ref="R586" r:id="rId147" display="https://doi.org/10.1007/s00170-019-03928-3?urlappend=%3Futm_source%3Dresearchgate.net%26utm_medium%3Darticle" xr:uid="{BD092806-7270-402F-A033-6121142F3216}"/>
    <hyperlink ref="R587" r:id="rId148" display="https://doi.org/10.1007/s00170-019-03928-3?urlappend=%3Futm_source%3Dresearchgate.net%26utm_medium%3Darticle" xr:uid="{C4A4CD6E-3438-45B6-B184-C0FF5C984913}"/>
    <hyperlink ref="R588" r:id="rId149" display="https://doi.org/10.1007/s00170-019-03928-3?urlappend=%3Futm_source%3Dresearchgate.net%26utm_medium%3Darticle" xr:uid="{C2116396-952D-49A9-ACD1-6AF1BD9591CE}"/>
    <hyperlink ref="R589" r:id="rId150" display="https://doi.org/10.1007/s00170-019-03928-3?urlappend=%3Futm_source%3Dresearchgate.net%26utm_medium%3Darticle" xr:uid="{717C95AE-55B7-4087-ACE9-E0DB92AF2A11}"/>
    <hyperlink ref="R590" r:id="rId151" display="https://doi.org/10.1007/s00170-019-03928-3?urlappend=%3Futm_source%3Dresearchgate.net%26utm_medium%3Darticle" xr:uid="{6BAD15E4-0C97-4AC9-BC6D-D39391C21240}"/>
    <hyperlink ref="R591" r:id="rId152" display="https://doi.org/10.1007/s00170-019-03928-3?urlappend=%3Futm_source%3Dresearchgate.net%26utm_medium%3Darticle" xr:uid="{A419004D-1044-4C6C-AC84-9AB1F41D62F8}"/>
    <hyperlink ref="R592" r:id="rId153" display="https://doi.org/10.1007/s00170-019-03928-3?urlappend=%3Futm_source%3Dresearchgate.net%26utm_medium%3Darticle" xr:uid="{8F840261-64BC-4ECD-ABF6-D3082A18052B}"/>
    <hyperlink ref="R593" r:id="rId154" display="https://doi.org/10.1007/s00170-019-03928-3?urlappend=%3Futm_source%3Dresearchgate.net%26utm_medium%3Darticle" xr:uid="{07F08EAB-EE24-439C-B02C-96F9F4929A2C}"/>
    <hyperlink ref="R594" r:id="rId155" display="https://doi.org/10.1007/s00170-019-03928-3?urlappend=%3Futm_source%3Dresearchgate.net%26utm_medium%3Darticle" xr:uid="{A96DD485-77F6-43C1-A781-2B12ADDFD25A}"/>
    <hyperlink ref="R595" r:id="rId156" display="https://doi.org/10.1007/s00170-019-03928-3?urlappend=%3Futm_source%3Dresearchgate.net%26utm_medium%3Darticle" xr:uid="{8488AD53-8957-4875-80BF-389754493BC9}"/>
    <hyperlink ref="R596" r:id="rId157" display="https://doi.org/10.1007/s00170-019-03928-3?urlappend=%3Futm_source%3Dresearchgate.net%26utm_medium%3Darticle" xr:uid="{12A27A48-4317-4CC1-9CF2-B088E9324C80}"/>
    <hyperlink ref="R597" r:id="rId158" display="https://doi.org/10.1007/s00170-019-03928-3?urlappend=%3Futm_source%3Dresearchgate.net%26utm_medium%3Darticle" xr:uid="{25459E1A-2FC9-4A53-8890-A15031167149}"/>
    <hyperlink ref="R598" r:id="rId159" display="https://doi.org/10.1007/s00170-019-03928-3?urlappend=%3Futm_source%3Dresearchgate.net%26utm_medium%3Darticle" xr:uid="{5FC18EB8-45CC-430C-872C-14894742E01D}"/>
    <hyperlink ref="R599" r:id="rId160" display="https://doi.org/10.3390/biomimetics10100680" xr:uid="{1148D226-5EBD-402D-B78E-9ED6E4FF132C}"/>
    <hyperlink ref="R600" r:id="rId161" display="https://doi.org/10.3390/biomimetics10100680" xr:uid="{9E289B74-1FC8-4FD5-8438-B498C6D38CE7}"/>
    <hyperlink ref="R601" r:id="rId162" display="https://doi.org/10.3390/biomimetics10100680" xr:uid="{2DD9412D-9DD6-483D-B734-2E3E3A32E4F3}"/>
    <hyperlink ref="R602" r:id="rId163" display="https://doi.org/10.3390/biomimetics10100680" xr:uid="{7F238D35-FF78-4CE1-ACC4-0025877E71FF}"/>
    <hyperlink ref="R603" r:id="rId164" display="https://doi.org/10.3390/biomimetics10100680" xr:uid="{5B372D57-8026-4EEE-AC1F-CD93891F817F}"/>
    <hyperlink ref="R604" r:id="rId165" display="https://doi.org/10.3390/biomimetics10100680" xr:uid="{40973603-174A-4DD3-8F13-41366B4EF94F}"/>
    <hyperlink ref="R605" r:id="rId166" display="https://doi.org/10.3390/biomimetics10100680" xr:uid="{34848AED-6601-4F79-9601-3AB5FC0B9FA8}"/>
    <hyperlink ref="R606" r:id="rId167" display="https://doi.org/10.3390/biomimetics10100680" xr:uid="{D018F746-3882-434C-A826-D8F4892FD9AE}"/>
    <hyperlink ref="R607" r:id="rId168" display="https://doi.org/10.3390/biomimetics10100680" xr:uid="{3C154523-E4FB-4758-B867-0CBB268B37CA}"/>
    <hyperlink ref="R608" r:id="rId169" display="https://doi.org/10.3390/biomimetics10100680" xr:uid="{416C4A0E-4B74-46CB-BC42-4DA27AF78C28}"/>
    <hyperlink ref="R609" r:id="rId170" display="https://doi.org/10.1016/j.matchar.2023.113117" xr:uid="{43DCD133-EB3B-4EC8-A50D-B78BCD02546E}"/>
    <hyperlink ref="R610" r:id="rId171" display="https://doi.org/10.1016/j.matchar.2023.113117" xr:uid="{A2AE8A7F-E6D1-44CD-970C-CF8BBD4487C6}"/>
    <hyperlink ref="R611" r:id="rId172" display="https://doi.org/10.1016/j.matchar.2023.113117" xr:uid="{A363C65A-4D14-44DF-884B-CA3372E9D506}"/>
    <hyperlink ref="R612" r:id="rId173" display="https://doi.org/10.1016/j.matchar.2023.113117" xr:uid="{200F91F2-D0EB-480C-9F5D-A04E2F2EE30E}"/>
    <hyperlink ref="R613" r:id="rId174" tooltip="Persistent link using digital object identifier" xr:uid="{CCC7B407-DAF0-46A5-9137-1EB7EEDA0DF7}"/>
    <hyperlink ref="R615" r:id="rId175" tooltip="Persistent link using digital object identifier" xr:uid="{37BBC3F9-2D1B-4B86-BC2B-8699F52ECF4F}"/>
    <hyperlink ref="R614" r:id="rId176" tooltip="Persistent link using digital object identifier" xr:uid="{35CA378C-4FE0-461E-A306-7B6537567511}"/>
    <hyperlink ref="R616" r:id="rId177" tooltip="Persistent link using digital object identifier" xr:uid="{A351E946-4484-4C80-8399-2F11677E0A24}"/>
    <hyperlink ref="R617" r:id="rId178" display="https://doi.org/10.1007/s11665-025-11726-0" xr:uid="{B666E612-F2DA-4968-90B8-5D7833D09199}"/>
    <hyperlink ref="R618" r:id="rId179" display="https://doi.org/10.1007/s11665-025-11726-0" xr:uid="{90BB9F91-1C90-4FEF-9FF5-79D3E896849E}"/>
    <hyperlink ref="R619" r:id="rId180" display="https://doi.org/10.1007/s11665-025-11726-0" xr:uid="{E15DB347-E0AA-4D77-BB90-E9A57FF43E6C}"/>
    <hyperlink ref="R620" r:id="rId181" display="https://doi.org/10.1016/j.addma.2026.105247" xr:uid="{8269778E-8D15-446C-A318-9096E42F251D}"/>
    <hyperlink ref="R621" r:id="rId182" xr:uid="{5C71CC69-9569-41CF-85D3-6CEA1C0F1732}"/>
    <hyperlink ref="R622" r:id="rId183" display="https://doi.org/10.1016/j.jmrt.2024.12.086" xr:uid="{F896AA28-C762-47C3-B367-09EBB703FD20}"/>
    <hyperlink ref="R623" r:id="rId184" display="https://doi.org/10.1016/j.jmrt.2024.12.086" xr:uid="{8E989144-EC31-44CE-9647-58FAD663CE4F}"/>
    <hyperlink ref="R624" r:id="rId185" tooltip="Persistent link using digital object identifier" xr:uid="{3383F563-02AF-4DC6-A62B-5B71FD93DA03}"/>
    <hyperlink ref="R625" r:id="rId186" display="https://doi.org/10.1016/j.matdes.2025.114036" xr:uid="{F9DF1970-A55B-44C7-A8A2-87102B845D01}"/>
    <hyperlink ref="R626" r:id="rId187" tooltip="Persistent link using digital object identifier" xr:uid="{2945648A-A244-4858-8A8B-EE161D8E8BE5}"/>
    <hyperlink ref="R627" r:id="rId188" tooltip="Persistent link using digital object identifier" xr:uid="{A228B4A8-43E9-48B9-8067-03D98A9C8940}"/>
    <hyperlink ref="R629" r:id="rId189" display="https://doi.org/10.1016/j.matdes.2025.114880" xr:uid="{427DCEA7-35EB-476D-AE7A-E99A5F597E45}"/>
    <hyperlink ref="R630" r:id="rId190" display="https://doi.org/10.1016/j.matdes.2025.114880" xr:uid="{01C2D221-0329-44B7-8996-DCA55236B74E}"/>
    <hyperlink ref="R628" r:id="rId191" display="https://doi.org/10.1016/j.matdes.2025.114880" xr:uid="{0FEC6E26-EA3A-41C5-9B44-C43A2BEA7D1D}"/>
    <hyperlink ref="R631" r:id="rId192" tooltip="Persistent link using digital object identifier" xr:uid="{7F9ACA59-5110-4155-85C9-EFB20B440CD1}"/>
    <hyperlink ref="R632" r:id="rId193" display="https://doi.org/10.1016/j.jmrt.2025.08.099" xr:uid="{D960DA44-71A8-4096-A026-65E4782D9213}"/>
    <hyperlink ref="R633" r:id="rId194" display="https://doi.org/10.1016/j.jmrt.2025.08.099" xr:uid="{5C29AB5C-92D3-4832-8540-6D34FB2FBEF6}"/>
    <hyperlink ref="R634" r:id="rId195" display="https://doi.org/10.1016/j.jmrt.2025.08.099" xr:uid="{2F8BC0FD-2727-42D6-B3EF-E3CAD264CF8B}"/>
    <hyperlink ref="R635" r:id="rId196" display="https://doi.org/10.1016/j.jmrt.2025.08.099" xr:uid="{58957CEF-92A2-47FA-A6EA-F889E794954B}"/>
    <hyperlink ref="R636" r:id="rId197" display="https://doi.org/10.1016/j.jmrt.2025.08.099" xr:uid="{2E1C0CFB-01BC-4CDA-BA7E-EE46E00098F1}"/>
    <hyperlink ref="R637" r:id="rId198" display="https://doi.org/10.1016/j.jmrt.2025.08.099" xr:uid="{013D2BCC-37CA-4F15-B270-ECE99954E729}"/>
    <hyperlink ref="R638" r:id="rId199" display="https://doi.org/10.1016/j.jmrt.2025.08.099" xr:uid="{AADFF619-ECCE-4EB4-9875-65498DFA9693}"/>
    <hyperlink ref="R639" r:id="rId200" display="https://doi.org/10.1016/j.jmrt.2025.08.099" xr:uid="{D7E4D6B4-C0D0-410B-A755-A7189EEEE184}"/>
    <hyperlink ref="R640" r:id="rId201" display="https://doi.org/10.1016/j.jmrt.2025.08.099" xr:uid="{5B6BB99B-5E7E-4EA3-BB90-A9A72B6DF103}"/>
    <hyperlink ref="R641" r:id="rId202" display="https://doi.org/10.1016/j.jnucmat.2021.152849" xr:uid="{C3974336-D812-4AB4-B74F-619B297A312F}"/>
    <hyperlink ref="R642" r:id="rId203" display="https://doi.org/10.1016/j.jnucmat.2021.152849" xr:uid="{6563F741-CA8E-416D-9C02-2A3790EC4462}"/>
    <hyperlink ref="R643" r:id="rId204" display="https://doi.org/10.1016/j.jnucmat.2021.152849" xr:uid="{B03A50B1-3716-4216-BCCB-BAFB941F86FE}"/>
    <hyperlink ref="R644" r:id="rId205" display="https://doi.org/10.1016/j.jmapro.2024.03.009" xr:uid="{B7FE422C-2861-405A-86EA-5601907DB948}"/>
    <hyperlink ref="R645" r:id="rId206" tooltip="Persistent link using digital object identifier" xr:uid="{0B520AC4-FD1B-4371-B764-465EB4B6B98D}"/>
    <hyperlink ref="R646" r:id="rId207" tooltip="Persistent link using digital object identifier" xr:uid="{662494A0-130B-4287-A9D1-08934C6675D9}"/>
    <hyperlink ref="R647" r:id="rId208" tooltip="Persistent link using digital object identifier" xr:uid="{6F2B11F7-A9E0-4BD4-A931-6095D0EAF1C7}"/>
    <hyperlink ref="R648" r:id="rId209" tooltip="Persistent link using digital object identifier" xr:uid="{D0895A1A-7506-4067-AE4B-D31238ED2EA9}"/>
    <hyperlink ref="R649" r:id="rId210" display="https://doi.org/10.1016/j.jmapro.2022.09.005" xr:uid="{191E4DC9-7676-41B8-B3C5-389FC3AE342A}"/>
    <hyperlink ref="R650" r:id="rId211" display="https://doi.org/10.1016/j.jmapro.2022.09.005" xr:uid="{B5A6AB6B-EC18-42E1-A009-63C1123571D6}"/>
    <hyperlink ref="R651" r:id="rId212" tooltip="Persistent link using digital object identifier" xr:uid="{9BCF1F5B-9475-4C86-A1C7-B300DC404A8C}"/>
    <hyperlink ref="R652" r:id="rId213" display="https://doi.org/10.1016/j.matchar.2024.114435" xr:uid="{D0981228-CBAA-46C4-923E-E2DC71FDC08C}"/>
    <hyperlink ref="R653" r:id="rId214" tooltip="Persistent link using digital object identifier" xr:uid="{02176FCA-8320-49A8-9D6B-E23809706CEB}"/>
    <hyperlink ref="R654" r:id="rId215" tooltip="Persistent link using digital object identifier" xr:uid="{BB74F543-B844-4670-98AA-D10745607BE3}"/>
    <hyperlink ref="R655" r:id="rId216" tooltip="Persistent link using digital object identifier" xr:uid="{AC8D9A1B-E326-4799-8B52-E1671020148A}"/>
    <hyperlink ref="R656" r:id="rId217" tooltip="Persistent link using digital object identifier" xr:uid="{4186E2CB-8F77-4BF1-918B-9036DF31ED8D}"/>
    <hyperlink ref="R657" r:id="rId218" tooltip="Persistent link using digital object identifier" xr:uid="{2CF3A989-4D64-4399-B1C5-95091FB3A93F}"/>
    <hyperlink ref="R658" r:id="rId219" tooltip="Persistent link using digital object identifier" xr:uid="{733F223E-CC25-416F-B1D0-F7A343F18DE9}"/>
    <hyperlink ref="R659" r:id="rId220" tooltip="Persistent link using digital object identifier" xr:uid="{656158ED-3410-4A71-A3DD-4C3EBB10D26B}"/>
    <hyperlink ref="R660" r:id="rId221" display="https://doi.org/10.1016/j.jmapro.2025.06.037" xr:uid="{509AE9AB-4DC6-4209-A485-1FB4C252D23C}"/>
    <hyperlink ref="R664" r:id="rId222" display="https://doi.org/10.1111/ffe.13845" xr:uid="{B4083662-9D2C-4B38-889B-7AAA73A3DC0B}"/>
    <hyperlink ref="R665:R666" r:id="rId223" display="https://doi.org/10.1111/ffe.13845" xr:uid="{EB56DD6E-C626-4CB9-A7B9-C5D832664111}"/>
    <hyperlink ref="R667" r:id="rId224" tooltip="Persistent link using digital object identifier" xr:uid="{35386D11-8C6E-4CD7-A306-320A31A4938C}"/>
    <hyperlink ref="R668" r:id="rId225" tooltip="Persistent link using digital object identifier" xr:uid="{3DA37874-9C6C-441E-904C-89C0B1750144}"/>
    <hyperlink ref="R669" r:id="rId226" tooltip="Persistent link using digital object identifier" xr:uid="{7EF2696C-CE7C-433E-BE12-1F9713C705FF}"/>
    <hyperlink ref="R670" r:id="rId227" tooltip="Persistent link using digital object identifier" xr:uid="{8C0577EF-8FB1-4E85-985D-EAD95946CB57}"/>
    <hyperlink ref="R671" r:id="rId228" tooltip="Persistent link using digital object identifier" xr:uid="{E9FBC4A9-36E6-4D18-BAD5-4750D9B93594}"/>
    <hyperlink ref="R672" r:id="rId229" tooltip="Persistent link using digital object identifier" xr:uid="{89075914-9CE0-45A1-B8D9-171B2A89828A}"/>
    <hyperlink ref="R673" r:id="rId230" tooltip="Persistent link using digital object identifier" xr:uid="{65CA9C17-91E7-42AF-9A33-F9E0D785A153}"/>
    <hyperlink ref="R674" r:id="rId231" tooltip="Persistent link using digital object identifier" xr:uid="{1E6357BD-A65C-459B-A2AD-470051C91F3C}"/>
    <hyperlink ref="R675" r:id="rId232" tooltip="Persistent link using digital object identifier" xr:uid="{095B66E5-EFE3-420C-A8D3-DEE362B133FF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ec87a8-9fb8-4158-ba8f-f11bace1ebaa}" enabled="0" method="" siteId="{a3ec87a8-9fb8-4158-ba8f-f11bace1eb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Shradda Bhandari</dc:creator>
  <cp:keywords/>
  <dc:description/>
  <cp:lastModifiedBy>Shradda Bhandari</cp:lastModifiedBy>
  <cp:revision/>
  <dcterms:created xsi:type="dcterms:W3CDTF">2026-05-18T21:19:47Z</dcterms:created>
  <dcterms:modified xsi:type="dcterms:W3CDTF">2026-06-17T19:41:00Z</dcterms:modified>
  <cp:category/>
  <cp:contentStatus/>
</cp:coreProperties>
</file>